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tables/table5.xml" ContentType="application/vnd.openxmlformats-officedocument.spreadsheetml.table+xml"/>
  <Override PartName="/xl/worksheets/sheet10.xml" ContentType="application/vnd.openxmlformats-officedocument.spreadsheetml.worksheet+xml"/>
  <Override PartName="/xl/tables/table6.xml" ContentType="application/vnd.openxmlformats-officedocument.spreadsheetml.table+xml"/>
  <Override PartName="/xl/worksheets/sheet11.xml" ContentType="application/vnd.openxmlformats-officedocument.spreadsheetml.worksheet+xml"/>
  <Override PartName="/xl/tables/table7.xml" ContentType="application/vnd.openxmlformats-officedocument.spreadsheetml.table+xml"/>
  <Override PartName="/xl/worksheets/sheet12.xml" ContentType="application/vnd.openxmlformats-officedocument.spreadsheetml.worksheet+xml"/>
  <Override PartName="/xl/tables/table8.xml" ContentType="application/vnd.openxmlformats-officedocument.spreadsheetml.table+xml"/>
  <Override PartName="/xl/worksheets/sheet13.xml" ContentType="application/vnd.openxmlformats-officedocument.spreadsheetml.worksheet+xml"/>
  <Override PartName="/xl/tables/table9.xml" ContentType="application/vnd.openxmlformats-officedocument.spreadsheetml.table+xml"/>
  <Override PartName="/xl/worksheets/sheet14.xml" ContentType="application/vnd.openxmlformats-officedocument.spreadsheetml.worksheet+xml"/>
  <Override PartName="/xl/tables/table10.xml" ContentType="application/vnd.openxmlformats-officedocument.spreadsheetml.table+xml"/>
  <Override PartName="/xl/worksheets/sheet15.xml" ContentType="application/vnd.openxmlformats-officedocument.spreadsheetml.worksheet+xml"/>
  <Override PartName="/xl/tables/table11.xml" ContentType="application/vnd.openxmlformats-officedocument.spreadsheetml.table+xml"/>
  <Override PartName="/xl/worksheets/sheet16.xml" ContentType="application/vnd.openxmlformats-officedocument.spreadsheetml.worksheet+xml"/>
  <Override PartName="/xl/tables/table12.xml" ContentType="application/vnd.openxmlformats-officedocument.spreadsheetml.table+xml"/>
  <Override PartName="/xl/worksheets/sheet17.xml" ContentType="application/vnd.openxmlformats-officedocument.spreadsheetml.worksheet+xml"/>
  <Override PartName="/xl/tables/table13.xml" ContentType="application/vnd.openxmlformats-officedocument.spreadsheetml.table+xml"/>
  <Override PartName="/xl/worksheets/sheet18.xml" ContentType="application/vnd.openxmlformats-officedocument.spreadsheetml.worksheet+xml"/>
  <Override PartName="/xl/tables/table14.xml" ContentType="application/vnd.openxmlformats-officedocument.spreadsheetml.table+xml"/>
  <Override PartName="/xl/worksheets/sheet19.xml" ContentType="application/vnd.openxmlformats-officedocument.spreadsheetml.worksheet+xml"/>
  <Override PartName="/xl/tables/table15.xml" ContentType="application/vnd.openxmlformats-officedocument.spreadsheetml.table+xml"/>
  <Override PartName="/xl/worksheets/sheet20.xml" ContentType="application/vnd.openxmlformats-officedocument.spreadsheetml.worksheet+xml"/>
  <Override PartName="/xl/tables/table16.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Read_Me" sheetId="1" state="visible" r:id="rId1"/>
    <sheet name="00_Hermes_Way_Standards" sheetId="2" state="visible" r:id="rId2"/>
    <sheet name="00_Roles" sheetId="3" state="visible" r:id="rId3"/>
    <sheet name="00_Scorecard" sheetId="4" state="visible" r:id="rId4"/>
    <sheet name="01_Core_Runtime" sheetId="5" state="visible" r:id="rId5"/>
    <sheet name="02_Identity_Memory" sheetId="6" state="visible" r:id="rId6"/>
    <sheet name="03_Model_Routing_Resilience" sheetId="7" state="visible" r:id="rId7"/>
    <sheet name="04_Tool_MCP_Layer" sheetId="8" state="visible" r:id="rId8"/>
    <sheet name="05_Secrets_Vault" sheetId="9" state="visible" r:id="rId9"/>
    <sheet name="06_Home_Network_Boundary" sheetId="10" state="visible" r:id="rId10"/>
    <sheet name="07_Local_Inference" sheetId="11" state="visible" r:id="rId11"/>
    <sheet name="08_Interfaces_Access" sheetId="12" state="visible" r:id="rId12"/>
    <sheet name="09_Observability" sheetId="13" state="visible" r:id="rId13"/>
    <sheet name="10_Backup_DR" sheetId="14" state="visible" r:id="rId14"/>
    <sheet name="11_Cost_Subscriptions" sheetId="15" state="visible" r:id="rId15"/>
    <sheet name="12_Security_Hardening" sheetId="16" state="visible" r:id="rId16"/>
    <sheet name="13_Governance_Change_Mgmt" sheetId="17" state="visible" r:id="rId17"/>
    <sheet name="14_Claude_Code_Parity" sheetId="18" state="visible" r:id="rId18"/>
    <sheet name="15_Productivity_And_Acceptance" sheetId="19" state="visible" r:id="rId19"/>
    <sheet name="D1_Vultr_Services_Audit" sheetId="20" state="visible" r:id="rId20"/>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0E7C7B"/>
      <sz val="14"/>
    </font>
    <font>
      <name val="Arial"/>
      <i val="1"/>
      <color rgb="005B6672"/>
      <sz val="10"/>
    </font>
    <font>
      <name val="Arial"/>
      <b val="1"/>
      <color rgb="00FFFFFF"/>
      <sz val="10"/>
    </font>
    <font>
      <name val="Arial"/>
      <sz val="10"/>
    </font>
    <font>
      <name val="Arial"/>
      <b val="1"/>
      <sz val="10"/>
    </font>
    <font>
      <name val="Arial"/>
      <b val="1"/>
      <color rgb="000E7C7B"/>
      <sz val="20"/>
    </font>
    <font>
      <name val="Arial"/>
      <b val="1"/>
      <color rgb="001B2024"/>
      <sz val="11"/>
    </font>
    <font>
      <name val="Courier New"/>
      <sz val="9.5"/>
    </font>
    <font>
      <name val="Arial"/>
      <b val="1"/>
      <color rgb="000E7C7B"/>
      <sz val="12"/>
    </font>
  </fonts>
  <fills count="4">
    <fill>
      <patternFill/>
    </fill>
    <fill>
      <patternFill patternType="gray125"/>
    </fill>
    <fill>
      <patternFill patternType="solid">
        <fgColor rgb="001B2024"/>
      </patternFill>
    </fill>
    <fill>
      <patternFill patternType="solid">
        <fgColor rgb="00E2EFEE"/>
      </patternFill>
    </fill>
  </fills>
  <borders count="6">
    <border>
      <left/>
      <right/>
      <top/>
      <bottom/>
      <diagonal/>
    </border>
    <border>
      <left style="thin">
        <color rgb="00D8D4CC"/>
      </left>
      <right style="thin">
        <color rgb="00D8D4CC"/>
      </right>
      <top style="thin">
        <color rgb="00D8D4CC"/>
      </top>
      <bottom style="thin">
        <color rgb="00D8D4CC"/>
      </bottom>
    </border>
    <border>
      <left/>
      <right/>
      <top style="thin">
        <color rgb="00D8D4CC"/>
      </top>
      <bottom/>
      <diagonal/>
    </border>
    <border>
      <left/>
      <right style="thin">
        <color rgb="00D8D4CC"/>
      </right>
      <top style="thin">
        <color rgb="00D8D4CC"/>
      </top>
      <bottom/>
      <diagonal/>
    </border>
    <border>
      <left/>
      <right/>
      <top style="thin">
        <color rgb="00D8D4CC"/>
      </top>
      <bottom style="thin">
        <color rgb="00D8D4CC"/>
      </bottom>
      <diagonal/>
    </border>
    <border>
      <left/>
      <right style="thin">
        <color rgb="00D8D4CC"/>
      </right>
      <top style="thin">
        <color rgb="00D8D4CC"/>
      </top>
      <bottom style="thin">
        <color rgb="00D8D4CC"/>
      </bottom>
      <diagonal/>
    </border>
  </borders>
  <cellStyleXfs count="1">
    <xf numFmtId="0" fontId="0" fillId="0" borderId="0"/>
  </cellStyleXfs>
  <cellXfs count="21">
    <xf numFmtId="0" fontId="0" fillId="0" borderId="0" pivotButton="0" quotePrefix="0" xfId="0"/>
    <xf numFmtId="0" fontId="6" fillId="0" borderId="0" pivotButton="0" quotePrefix="0" xfId="0"/>
    <xf numFmtId="0" fontId="2" fillId="0" borderId="0" pivotButton="0" quotePrefix="0" xfId="0"/>
    <xf numFmtId="0" fontId="4" fillId="0" borderId="0" pivotButton="0" quotePrefix="0" xfId="0"/>
    <xf numFmtId="0" fontId="7" fillId="0" borderId="0" pivotButton="0" quotePrefix="0" xfId="0"/>
    <xf numFmtId="0" fontId="8" fillId="0" borderId="0" pivotButton="0" quotePrefix="0" xfId="0"/>
    <xf numFmtId="0" fontId="1"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0" fontId="3" fillId="2" borderId="1" pivotButton="0" quotePrefix="0" xfId="0"/>
    <xf numFmtId="0" fontId="4" fillId="0" borderId="1" pivotButton="0" quotePrefix="0" xfId="0"/>
    <xf numFmtId="9" fontId="4" fillId="0" borderId="1" pivotButton="0" quotePrefix="0" xfId="0"/>
    <xf numFmtId="0" fontId="5" fillId="3" borderId="1" pivotButton="0" quotePrefix="0" xfId="0"/>
    <xf numFmtId="0" fontId="0" fillId="3" borderId="1" pivotButton="0" quotePrefix="0" xfId="0"/>
    <xf numFmtId="9" fontId="5" fillId="3" borderId="1" pivotButton="0" quotePrefix="0" xfId="0"/>
    <xf numFmtId="0" fontId="9" fillId="0" borderId="0" pivotButton="0" quotePrefix="0" xfId="0"/>
    <xf numFmtId="0" fontId="4" fillId="0" borderId="0" applyAlignment="1" pivotButton="0" quotePrefix="0" xfId="0">
      <alignment vertical="top" wrapText="1"/>
    </xf>
    <xf numFmtId="0" fontId="0" fillId="0" borderId="4" pivotButton="0" quotePrefix="0" xfId="0"/>
    <xf numFmtId="0" fontId="0" fillId="0" borderId="5" pivotButton="0" quotePrefix="0" xfId="0"/>
    <xf numFmtId="0" fontId="0" fillId="0" borderId="1" pivotButton="0" quotePrefix="0" xfId="0"/>
    <xf numFmtId="0" fontId="5" fillId="0" borderId="0" pivotButton="0" quotePrefix="0" xfId="0"/>
  </cellXfs>
  <cellStyles count="1">
    <cellStyle name="Normal" xfId="0" builtinId="0" hidden="0"/>
  </cellStyles>
  <dxfs count="6">
    <dxf>
      <fill>
        <patternFill patternType="solid">
          <fgColor rgb="00F8E6E0"/>
        </patternFill>
      </fill>
    </dxf>
    <dxf>
      <fill>
        <patternFill patternType="solid">
          <fgColor rgb="00FBF0DD"/>
        </patternFill>
      </fill>
    </dxf>
    <dxf>
      <fill>
        <patternFill patternType="solid">
          <fgColor rgb="00E4F4E7"/>
        </patternFill>
      </fill>
    </dxf>
    <dxf>
      <font>
        <name val="Arial"/>
        <b val="1"/>
        <color rgb="002F9E44"/>
        <sz val="10"/>
      </font>
      <fill>
        <patternFill patternType="solid">
          <fgColor rgb="00E4F4E7"/>
        </patternFill>
      </fill>
    </dxf>
    <dxf>
      <font>
        <name val="Arial"/>
        <b val="1"/>
        <color rgb="00B9790A"/>
        <sz val="10"/>
      </font>
      <fill>
        <patternFill patternType="solid">
          <fgColor rgb="00FBF0DD"/>
        </patternFill>
      </fill>
    </dxf>
    <dxf>
      <font>
        <name val="Arial"/>
        <b val="1"/>
        <color rgb="005B6672"/>
        <sz val="10"/>
      </font>
      <fill>
        <patternFill patternType="solid">
          <fgColor rgb="00ECEB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ables/table1.xml><?xml version="1.0" encoding="utf-8"?>
<table xmlns="http://schemas.openxmlformats.org/spreadsheetml/2006/main" id="1" name="tbl_01_Core_Runtime" displayName="tbl_01_Core_Runtime" ref="A4:J50" headerRowCount="1">
  <autoFilter ref="A4:J5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2.xml><?xml version="1.0" encoding="utf-8"?>
<table xmlns="http://schemas.openxmlformats.org/spreadsheetml/2006/main" id="2" name="tbl_02_Identity_Memory" displayName="tbl_02_Identity_Memory" ref="A4:J43" headerRowCount="1">
  <autoFilter ref="A4:J43"/>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3.xml><?xml version="1.0" encoding="utf-8"?>
<table xmlns="http://schemas.openxmlformats.org/spreadsheetml/2006/main" id="3" name="tbl_03_Model_Routing_Resilience" displayName="tbl_03_Model_Routing_Resilience"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4.xml><?xml version="1.0" encoding="utf-8"?>
<table xmlns="http://schemas.openxmlformats.org/spreadsheetml/2006/main" id="4" name="tbl_04_Tool_MCP_Layer" displayName="tbl_04_Tool_MCP_Layer" ref="A4:J47" headerRowCount="1">
  <autoFilter ref="A4:J47"/>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5.xml><?xml version="1.0" encoding="utf-8"?>
<table xmlns="http://schemas.openxmlformats.org/spreadsheetml/2006/main" id="5" name="tbl_05_Secrets_Vault" displayName="tbl_05_Secrets_Vault" ref="A4:J49" headerRowCount="1">
  <autoFilter ref="A4:J49"/>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6.xml><?xml version="1.0" encoding="utf-8"?>
<table xmlns="http://schemas.openxmlformats.org/spreadsheetml/2006/main" id="6" name="tbl_06_Home_Network_Boundary" displayName="tbl_06_Home_Network_Boundary" ref="A4:J42" headerRowCount="1">
  <autoFilter ref="A4:J42"/>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7.xml><?xml version="1.0" encoding="utf-8"?>
<table xmlns="http://schemas.openxmlformats.org/spreadsheetml/2006/main" id="7" name="tbl_07_Local_Inference" displayName="tbl_07_Local_Inference"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8.xml><?xml version="1.0" encoding="utf-8"?>
<table xmlns="http://schemas.openxmlformats.org/spreadsheetml/2006/main" id="8" name="tbl_08_Interfaces_Access" displayName="tbl_08_Interfaces_Access" ref="A4:J43" headerRowCount="1">
  <autoFilter ref="A4:J43"/>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9.xml><?xml version="1.0" encoding="utf-8"?>
<table xmlns="http://schemas.openxmlformats.org/spreadsheetml/2006/main" id="9" name="tbl_09_Observability" displayName="tbl_09_Observability"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0.xml><?xml version="1.0" encoding="utf-8"?>
<table xmlns="http://schemas.openxmlformats.org/spreadsheetml/2006/main" id="10" name="tbl_10_Backup_DR" displayName="tbl_10_Backup_DR"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1.xml><?xml version="1.0" encoding="utf-8"?>
<table xmlns="http://schemas.openxmlformats.org/spreadsheetml/2006/main" id="11" name="tbl_11_Cost_Subscriptions" displayName="tbl_11_Cost_Subscriptions"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2.xml><?xml version="1.0" encoding="utf-8"?>
<table xmlns="http://schemas.openxmlformats.org/spreadsheetml/2006/main" id="12" name="tbl_12_Security_Hardening" displayName="tbl_12_Security_Hardening" ref="A4:J42" headerRowCount="1">
  <autoFilter ref="A4:J42"/>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3.xml><?xml version="1.0" encoding="utf-8"?>
<table xmlns="http://schemas.openxmlformats.org/spreadsheetml/2006/main" id="13" name="tbl_13_Governance_Change_Mgmt" displayName="tbl_13_Governance_Change_Mgmt"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4.xml><?xml version="1.0" encoding="utf-8"?>
<table xmlns="http://schemas.openxmlformats.org/spreadsheetml/2006/main" id="14" name="tbl_14_Claude_Code_Parity" displayName="tbl_14_Claude_Code_Parity"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5.xml><?xml version="1.0" encoding="utf-8"?>
<table xmlns="http://schemas.openxmlformats.org/spreadsheetml/2006/main" id="15" name="tbl_15_Productivity_And_Acceptance" displayName="tbl_15_Productivity_And_Acceptance"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6.xml><?xml version="1.0" encoding="utf-8"?>
<table xmlns="http://schemas.openxmlformats.org/spreadsheetml/2006/main" id="16" name="tbl_D1_Vultr_Services_Audit" displayName="tbl_D1_Vultr_Services_Audit" ref="A4:E18" headerRowCount="1">
  <autoFilter ref="A4:E18"/>
  <tableColumns count="5">
    <tableColumn id="1" name="Service"/>
    <tableColumn id="2" name="What it does"/>
    <tableColumn id="3" name="Relevant to Hermes?"/>
    <tableColumn id="4" name="Why"/>
    <tableColumn id="5" name="Priority"/>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_rels/sheet9.xml.rels><Relationships xmlns="http://schemas.openxmlformats.org/package/2006/relationships"><Relationship Type="http://schemas.openxmlformats.org/officeDocument/2006/relationships/table" Target="/xl/tables/table5.xml" Id="rId1" /></Relationships>
</file>

<file path=xl/worksheets/_rels/sheet10.xml.rels><Relationships xmlns="http://schemas.openxmlformats.org/package/2006/relationships"><Relationship Type="http://schemas.openxmlformats.org/officeDocument/2006/relationships/table" Target="/xl/tables/table6.xml" Id="rId1" /></Relationships>
</file>

<file path=xl/worksheets/_rels/sheet11.xml.rels><Relationships xmlns="http://schemas.openxmlformats.org/package/2006/relationships"><Relationship Type="http://schemas.openxmlformats.org/officeDocument/2006/relationships/table" Target="/xl/tables/table7.xml" Id="rId1" /></Relationships>
</file>

<file path=xl/worksheets/_rels/sheet12.xml.rels><Relationships xmlns="http://schemas.openxmlformats.org/package/2006/relationships"><Relationship Type="http://schemas.openxmlformats.org/officeDocument/2006/relationships/table" Target="/xl/tables/table8.xml" Id="rId1" /></Relationships>
</file>

<file path=xl/worksheets/_rels/sheet13.xml.rels><Relationships xmlns="http://schemas.openxmlformats.org/package/2006/relationships"><Relationship Type="http://schemas.openxmlformats.org/officeDocument/2006/relationships/table" Target="/xl/tables/table9.xml" Id="rId1" /></Relationships>
</file>

<file path=xl/worksheets/_rels/sheet14.xml.rels><Relationships xmlns="http://schemas.openxmlformats.org/package/2006/relationships"><Relationship Type="http://schemas.openxmlformats.org/officeDocument/2006/relationships/table" Target="/xl/tables/table10.xml" Id="rId1" /></Relationships>
</file>

<file path=xl/worksheets/_rels/sheet15.xml.rels><Relationships xmlns="http://schemas.openxmlformats.org/package/2006/relationships"><Relationship Type="http://schemas.openxmlformats.org/officeDocument/2006/relationships/table" Target="/xl/tables/table11.xml" Id="rId1" /></Relationships>
</file>

<file path=xl/worksheets/_rels/sheet16.xml.rels><Relationships xmlns="http://schemas.openxmlformats.org/package/2006/relationships"><Relationship Type="http://schemas.openxmlformats.org/officeDocument/2006/relationships/table" Target="/xl/tables/table12.xml" Id="rId1" /></Relationships>
</file>

<file path=xl/worksheets/_rels/sheet17.xml.rels><Relationships xmlns="http://schemas.openxmlformats.org/package/2006/relationships"><Relationship Type="http://schemas.openxmlformats.org/officeDocument/2006/relationships/table" Target="/xl/tables/table13.xml" Id="rId1" /></Relationships>
</file>

<file path=xl/worksheets/_rels/sheet18.xml.rels><Relationships xmlns="http://schemas.openxmlformats.org/package/2006/relationships"><Relationship Type="http://schemas.openxmlformats.org/officeDocument/2006/relationships/table" Target="/xl/tables/table14.xml" Id="rId1" /></Relationships>
</file>

<file path=xl/worksheets/_rels/sheet19.xml.rels><Relationships xmlns="http://schemas.openxmlformats.org/package/2006/relationships"><Relationship Type="http://schemas.openxmlformats.org/officeDocument/2006/relationships/table" Target="/xl/tables/table15.xml" Id="rId1" /></Relationships>
</file>

<file path=xl/worksheets/_rels/sheet20.xml.rels><Relationships xmlns="http://schemas.openxmlformats.org/package/2006/relationships"><Relationship Type="http://schemas.openxmlformats.org/officeDocument/2006/relationships/table" Target="/xl/tables/table16.xml" Id="rId1" /></Relationships>
</file>

<file path=xl/worksheets/sheet1.xml><?xml version="1.0" encoding="utf-8"?>
<worksheet xmlns="http://schemas.openxmlformats.org/spreadsheetml/2006/main">
  <sheetPr>
    <tabColor rgb="000E7C7B"/>
    <outlinePr summaryBelow="1" summaryRight="1"/>
    <pageSetUpPr/>
  </sheetPr>
  <dimension ref="A1:A72"/>
  <sheetViews>
    <sheetView showGridLines="0" workbookViewId="0">
      <selection activeCell="A1" sqref="A1"/>
    </sheetView>
  </sheetViews>
  <sheetFormatPr baseColWidth="8" defaultRowHeight="15"/>
  <cols>
    <col width="100" customWidth="1" min="1" max="1"/>
  </cols>
  <sheetData>
    <row r="1">
      <c r="A1" s="1" t="inlineStr">
        <is>
          <t>The Hermes Way</t>
        </is>
      </c>
    </row>
    <row r="2">
      <c r="A2" s="2" t="inlineStr">
        <is>
          <t>The working database for what 'Hermes, fully realized' actually means — built 2026-10-03, meant to keep growing.</t>
        </is>
      </c>
    </row>
    <row r="3">
      <c r="A3" s="3" t="inlineStr"/>
    </row>
    <row r="4">
      <c r="A4" s="4" t="inlineStr">
        <is>
          <t>WHAT THIS WORKBOOK IS</t>
        </is>
      </c>
    </row>
    <row r="5">
      <c r="A5" s="3" t="inlineStr">
        <is>
          <t>A flat, execution-level inventory of every feature required to realize Hermes as a complete personal-agent</t>
        </is>
      </c>
    </row>
    <row r="6">
      <c r="A6" s="3" t="inlineStr">
        <is>
          <t>platform — organized by capability domain (tabs 01-15), not by phase or timeline. Each row is one concrete,</t>
        </is>
      </c>
    </row>
    <row r="7">
      <c r="A7" s="3" t="inlineStr">
        <is>
          <t>checkable thing. This is the working feature backlog, not the authoritative record — per this project's</t>
        </is>
      </c>
    </row>
    <row r="8">
      <c r="A8" s="3" t="inlineStr">
        <is>
          <t>CLAUDE.md, the catalog (Postgres + PostgREST at 192.168.40.2:3003, tagged 'hermes') is the single source of</t>
        </is>
      </c>
    </row>
    <row r="9">
      <c r="A9" s="3" t="inlineStr">
        <is>
          <t>truth for decisions and facts. Keep this workbook consistent with the catalog; when they disagree, the</t>
        </is>
      </c>
    </row>
    <row r="10">
      <c r="A10" s="3" t="inlineStr">
        <is>
          <t>catalog wins and this file should be corrected.</t>
        </is>
      </c>
    </row>
    <row r="11">
      <c r="A11" s="3" t="inlineStr"/>
    </row>
    <row r="12">
      <c r="A12" s="4" t="inlineStr">
        <is>
          <t>THE ONE RULE EVERYTHING IS CHECKED AGAINST</t>
        </is>
      </c>
    </row>
    <row r="13">
      <c r="A13" s="3" t="inlineStr">
        <is>
          <t>Hermes = hermes-vps. The home network (w_workstation, WireGuard, the local LLM, Salt, MeshCentral) is a</t>
        </is>
      </c>
    </row>
    <row r="14">
      <c r="A14" s="3" t="inlineStr">
        <is>
          <t>swappable CAPABILITY PROVIDER Hermes reaches over a tunnel — never a place Hermes itself runs, and never a</t>
        </is>
      </c>
    </row>
    <row r="15">
      <c r="A15" s="3" t="inlineStr">
        <is>
          <t>dependency for Hermes to be fully itself. If the tunnel drops, Hermes must still answer everything via Codex,</t>
        </is>
      </c>
    </row>
    <row r="16">
      <c r="A16" s="3" t="inlineStr">
        <is>
          <t>with the same identity and the same tools, automatically, with no manual step. 'Away from home' and 'at home'</t>
        </is>
      </c>
    </row>
    <row r="17">
      <c r="A17" s="3" t="inlineStr">
        <is>
          <t>are the same Hermes; only the inference backend underneath is allowed to differ.</t>
        </is>
      </c>
    </row>
    <row r="18">
      <c r="A18" s="3" t="inlineStr"/>
    </row>
    <row r="19">
      <c r="A19" s="3" t="inlineStr">
        <is>
          <t>COLUMN LEGEND (every 01-13 tab uses the same 10 columns)</t>
        </is>
      </c>
    </row>
    <row r="20">
      <c r="A20" s="5" t="inlineStr">
        <is>
          <t xml:space="preserve">  ID              short code per tab, e.g. CR-01, SV-08 — stable, don't renumber when inserting rows</t>
        </is>
      </c>
    </row>
    <row r="21">
      <c r="A21" s="5" t="inlineStr">
        <is>
          <t xml:space="preserve">  Feature          short name of the thing</t>
        </is>
      </c>
    </row>
    <row r="22">
      <c r="A22" s="5" t="inlineStr">
        <is>
          <t xml:space="preserve">  Description      execution-level detail: what file, what config key, what command, what 'done' means</t>
        </is>
      </c>
    </row>
    <row r="23">
      <c r="A23" s="5" t="inlineStr">
        <is>
          <t xml:space="preserve">  Must Live On      Hermes-VPS / Home-Network / Either-Bridge / N/A (process or doc, no host)</t>
        </is>
      </c>
    </row>
    <row r="24">
      <c r="A24" s="5" t="inlineStr">
        <is>
          <t xml:space="preserve">  Status           Done / Partial / Not Started / Risk / Violation (color-coded automatically)</t>
        </is>
      </c>
    </row>
    <row r="25">
      <c r="A25" s="5" t="inlineStr">
        <is>
          <t xml:space="preserve">  Evidence/Location  host, file path, config key, or catalog entity key backing the status claim</t>
        </is>
      </c>
    </row>
    <row r="26">
      <c r="A26" s="5" t="inlineStr">
        <is>
          <t xml:space="preserve">  Points           weight — bigger number = more load-bearing, not more effort</t>
        </is>
      </c>
    </row>
    <row r="27">
      <c r="A27" s="5" t="inlineStr">
        <is>
          <t xml:space="preserve">  Points Earned     formula: Done=100% of Points, Partial=50%, everything else=0% — don't hand-edit this column</t>
        </is>
      </c>
    </row>
    <row r="28">
      <c r="A28" s="5" t="inlineStr">
        <is>
          <t xml:space="preserve">  Owner Role        which role (see 00_Roles) is accountable for closing this row</t>
        </is>
      </c>
    </row>
    <row r="29">
      <c r="A29" s="5" t="inlineStr">
        <is>
          <t xml:space="preserve">  Notes/Next Action  what actually has to happen next</t>
        </is>
      </c>
    </row>
    <row r="30">
      <c r="A30" s="3" t="inlineStr"/>
    </row>
    <row r="31">
      <c r="A31" s="3" t="inlineStr">
        <is>
          <t>STATUS DEFINITIONS (feature-completion only — not an audit log)</t>
        </is>
      </c>
    </row>
    <row r="32">
      <c r="A32" s="5" t="inlineStr">
        <is>
          <t xml:space="preserve">  Done        verified true, with evidence, as of this session</t>
        </is>
      </c>
    </row>
    <row r="33">
      <c r="A33" s="5" t="inlineStr">
        <is>
          <t xml:space="preserve">  Partial      exists but incomplete, unverified, or only half-covers the feature</t>
        </is>
      </c>
    </row>
    <row r="34">
      <c r="A34" s="5" t="inlineStr">
        <is>
          <t xml:space="preserve">  Not Started  no work done yet</t>
        </is>
      </c>
    </row>
    <row r="35">
      <c r="A35" s="5" t="inlineStr">
        <is>
          <t xml:space="preserve">  Anything worth flagging about WHY a row matters or what's exposed in the meantime belongs in Notes/Next</t>
        </is>
      </c>
    </row>
    <row r="36">
      <c r="A36" s="5" t="inlineStr">
        <is>
          <t xml:space="preserve">  Action, not in Status — Status only ever answers 'is this feature built yet.'</t>
        </is>
      </c>
    </row>
    <row r="37">
      <c r="A37" s="3" t="inlineStr"/>
    </row>
    <row r="38">
      <c r="A38" s="4" t="inlineStr">
        <is>
          <t>HOW TO GROW THIS RECURSIVELY</t>
        </is>
      </c>
    </row>
    <row r="39">
      <c r="A39" s="3" t="inlineStr">
        <is>
          <t>Every time a new feature surfaces — from your own work, from another LLM's review of this sheet, or from</t>
        </is>
      </c>
    </row>
    <row r="40">
      <c r="A40" s="3" t="inlineStr">
        <is>
          <t>something breaking — add a row in the right tab with the next ID in sequence. If it doesn't fit any existing</t>
        </is>
      </c>
    </row>
    <row r="41">
      <c r="A41" s="3" t="inlineStr">
        <is>
          <t>tab, that's a signal a 14th tab may be needed; check it against 00_Hermes_Way_Standards first.</t>
        </is>
      </c>
    </row>
    <row r="42">
      <c r="A42" s="3" t="inlineStr"/>
    </row>
    <row r="43">
      <c r="A43" s="4" t="inlineStr">
        <is>
          <t>TAB MAP</t>
        </is>
      </c>
    </row>
    <row r="44">
      <c r="A44" s="5" t="inlineStr">
        <is>
          <t xml:space="preserve">  00_Read_Me                  this page</t>
        </is>
      </c>
    </row>
    <row r="45">
      <c r="A45" s="5" t="inlineStr">
        <is>
          <t xml:space="preserve">  00_Hermes_Way_Standards       the principles every row is checked against</t>
        </is>
      </c>
    </row>
    <row r="46">
      <c r="A46" s="5" t="inlineStr">
        <is>
          <t xml:space="preserve">  00_Roles                    who's accountable for what kind of row</t>
        </is>
      </c>
    </row>
    <row r="47">
      <c r="A47" s="5" t="inlineStr">
        <is>
          <t xml:space="preserve">  00_Scorecard                point totals, % complete, the finish line, and the legacy G1-G9 mapping</t>
        </is>
      </c>
    </row>
    <row r="48">
      <c r="A48" s="5" t="inlineStr">
        <is>
          <t xml:space="preserve">  01_Core_Runtime              what IS Hermes, on the VPS</t>
        </is>
      </c>
    </row>
    <row r="49">
      <c r="A49" s="5" t="inlineStr">
        <is>
          <t xml:space="preserve">  02_Identity_Memory            SOUL.md/MEMORY.md/USER.md, extended memory providers, cross-interface continuity</t>
        </is>
      </c>
    </row>
    <row r="50">
      <c r="A50" s="5" t="inlineStr">
        <is>
          <t xml:space="preserve">  03_Model_Routing_Resilience    Codex-as-ceiling, local-down fire drill, routing logic</t>
        </is>
      </c>
    </row>
    <row r="51">
      <c r="A51" s="5" t="inlineStr">
        <is>
          <t xml:space="preserve">  04_Tool_MCP_Layer             MCP servers, one deployment per capability</t>
        </is>
      </c>
    </row>
    <row r="52">
      <c r="A52" s="5" t="inlineStr">
        <is>
          <t xml:space="preserve">  05_Secrets_Vault              every credential, vaulted or not</t>
        </is>
      </c>
    </row>
    <row r="53">
      <c r="A53" s="5" t="inlineStr">
        <is>
          <t xml:space="preserve">  06_Home_Network_Boundary       WireGuard, scope-creep check, gateway exposure</t>
        </is>
      </c>
    </row>
    <row r="54">
      <c r="A54" s="5" t="inlineStr">
        <is>
          <t xml:space="preserve">  07_Local_Inference            the w_workstation runtime/model decision</t>
        </is>
      </c>
    </row>
    <row r="55">
      <c r="A55" s="5" t="inlineStr">
        <is>
          <t xml:space="preserve">  08_Interfaces_Access          web UI, Desktop, Signal/Telegram</t>
        </is>
      </c>
    </row>
    <row r="56">
      <c r="A56" s="5" t="inlineStr">
        <is>
          <t xml:space="preserve">  09_Observability             health signals a human can actually see</t>
        </is>
      </c>
    </row>
    <row r="57">
      <c r="A57" s="5" t="inlineStr">
        <is>
          <t xml:space="preserve">  10_Backup_DR                 what survives a box dying</t>
        </is>
      </c>
    </row>
    <row r="58">
      <c r="A58" s="5" t="inlineStr">
        <is>
          <t xml:space="preserve">  11_Cost_Subscriptions         the actual point of the project</t>
        </is>
      </c>
    </row>
    <row r="59">
      <c r="A59" s="5" t="inlineStr">
        <is>
          <t xml:space="preserve">  12_Security_Hardening         closeable gaps, not debates</t>
        </is>
      </c>
    </row>
    <row r="60">
      <c r="A60" s="5" t="inlineStr">
        <is>
          <t xml:space="preserve">  13_Governance_Change_Mgmt      how this stays coherent as it grows</t>
        </is>
      </c>
    </row>
    <row r="61">
      <c r="A61" s="5" t="inlineStr">
        <is>
          <t xml:space="preserve">  14_Claude_Code_Parity         what Claude Code does today, mapped to the Hermes-native capability needed to retire it</t>
        </is>
      </c>
    </row>
    <row r="62">
      <c r="A62" s="5" t="inlineStr">
        <is>
          <t xml:space="preserve">  15_Productivity_And_Acceptance  everyday usefulness (Google office, deliverables, long-running work) and how to actually prove any of it works</t>
        </is>
      </c>
    </row>
    <row r="63">
      <c r="A63" s="3" t="inlineStr"/>
    </row>
    <row r="64">
      <c r="A64" s="5" t="inlineStr">
        <is>
          <t xml:space="preserve">  DISCOVERY TABS (prefixed D#, brown tab color) — reference research, not a tracked backlog. Resulting</t>
        </is>
      </c>
    </row>
    <row r="65">
      <c r="A65" s="5" t="inlineStr">
        <is>
          <t xml:space="preserve">  action items get added to the 01-15 tabs above, not tracked for completion here.</t>
        </is>
      </c>
    </row>
    <row r="66">
      <c r="A66" s="5" t="inlineStr">
        <is>
          <t xml:space="preserve">  D1_Vultr_Services_Audit       what Vultr offers vs. what Hermes should actually use</t>
        </is>
      </c>
    </row>
    <row r="67">
      <c r="A67" s="3" t="inlineStr"/>
    </row>
    <row r="68">
      <c r="A68" s="5" t="inlineStr">
        <is>
          <t xml:space="preserve">  Found 2026-10-04: Nous's own framing is 'Five Pillars' -- Memory, Skills, Soul, Crons, Self-</t>
        </is>
      </c>
    </row>
    <row r="69">
      <c r="A69" s="5" t="inlineStr">
        <is>
          <t xml:space="preserve">  Improvement. Memory+Soul covered in 02_Identity_Memory. Skills queued next. Crons (built-in</t>
        </is>
      </c>
    </row>
    <row r="70">
      <c r="A70" s="5" t="inlineStr">
        <is>
          <t xml:space="preserve">  scheduler: hermes cron list/remove/run) and Self-Improvement (the learn-from-work loop) are</t>
        </is>
      </c>
    </row>
    <row r="71">
      <c r="A71" s="5" t="inlineStr">
        <is>
          <t xml:space="preserve">  real pillars with zero coverage anywhere in this workbook yet -- not yet researched, flagging</t>
        </is>
      </c>
    </row>
    <row r="72">
      <c r="A72" s="5" t="inlineStr">
        <is>
          <t xml:space="preserve">  so they don't get forgotten once Skills is done.</t>
        </is>
      </c>
    </row>
  </sheetData>
  <pageMargins left="0.75" right="0.75" top="1" bottom="1" header="0.5" footer="0.5"/>
</worksheet>
</file>

<file path=xl/worksheets/sheet2.xml><?xml version="1.0" encoding="utf-8"?>
<worksheet xmlns="http://schemas.openxmlformats.org/spreadsheetml/2006/main">
  <sheetPr>
    <tabColor rgb="000E7C7B"/>
    <outlinePr summaryBelow="1" summaryRight="1"/>
    <pageSetUpPr/>
  </sheetPr>
  <dimension ref="A1:F1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56" customWidth="1" min="3" max="3"/>
    <col width="16" customWidth="1" min="4" max="4"/>
    <col width="44" customWidth="1" min="5" max="5"/>
    <col width="22" customWidth="1" min="6" max="6"/>
  </cols>
  <sheetData>
    <row r="1" ht="22" customHeight="1">
      <c r="A1" s="6" t="inlineStr">
        <is>
          <t>The Hermes Way — Standards</t>
        </is>
      </c>
    </row>
    <row r="2">
      <c r="A2" s="2" t="inlineStr">
        <is>
          <t>The principles every row in tabs 01-15 is checked against. Re-run this check whenever a new capability is added.</t>
        </is>
      </c>
    </row>
    <row r="4">
      <c r="A4" s="7" t="inlineStr">
        <is>
          <t>#</t>
        </is>
      </c>
      <c r="B4" s="7" t="inlineStr">
        <is>
          <t>Standard</t>
        </is>
      </c>
      <c r="C4" s="7" t="inlineStr">
        <is>
          <t>What it means in practice</t>
        </is>
      </c>
      <c r="D4" s="7" t="inlineStr">
        <is>
          <t>Currently honored?</t>
        </is>
      </c>
      <c r="E4" s="7" t="inlineStr">
        <is>
          <t>Current gap, if any</t>
        </is>
      </c>
      <c r="F4" s="7" t="inlineStr">
        <is>
          <t>Owned by</t>
        </is>
      </c>
    </row>
    <row r="5">
      <c r="A5" s="8" t="n">
        <v>1</v>
      </c>
      <c r="B5" s="8" t="inlineStr">
        <is>
          <t>Single source of truth for identity &amp; state</t>
        </is>
      </c>
      <c r="C5" s="8" t="inlineStr">
        <is>
          <t>One memory, one identity, reachable identically from every interface — no split-brain between web UI / Desktop / future Signal.</t>
        </is>
      </c>
      <c r="D5" s="8" t="inlineStr">
        <is>
          <t>No</t>
        </is>
      </c>
      <c r="E5" s="8" t="inlineStr">
        <is>
          <t>02_Identity_Memory — session store not confirmed single, SOUL.md/MEMORY.md/USER.md not even committed yet</t>
        </is>
      </c>
      <c r="F5" s="8" t="inlineStr">
        <is>
          <t>Hermes Design Specialist</t>
        </is>
      </c>
    </row>
    <row r="6">
      <c r="A6" s="8" t="n">
        <v>2</v>
      </c>
      <c r="B6" s="8" t="inlineStr">
        <is>
          <t>Core/capability separation</t>
        </is>
      </c>
      <c r="C6" s="8" t="inlineStr">
        <is>
          <t>Hermes's core (identity, routing, tools, web presence) lives only on hermes-vps. The home network is a capability provider, swappable without breaking the core.</t>
        </is>
      </c>
      <c r="D6" s="8" t="inlineStr">
        <is>
          <t>Partial</t>
        </is>
      </c>
      <c r="E6" s="8" t="inlineStr">
        <is>
          <t>06_Home_Network_Boundary — Salt/MeshCentral added beyond the 2026-09-23 'local LLM only' decision</t>
        </is>
      </c>
      <c r="F6" s="8" t="inlineStr">
        <is>
          <t>Hermes Design Specialist</t>
        </is>
      </c>
    </row>
    <row r="7">
      <c r="A7" s="8" t="n">
        <v>3</v>
      </c>
      <c r="B7" s="8" t="inlineStr">
        <is>
          <t>Graceful degradation, fail-safe default</t>
        </is>
      </c>
      <c r="C7" s="8" t="inlineStr">
        <is>
          <t>Losing any optional capability (local model, WireGuard link) degrades to a known-good fallback automatically — never an error, never silent wrong answers.</t>
        </is>
      </c>
      <c r="D7" s="8" t="inlineStr">
        <is>
          <t>Unverified</t>
        </is>
      </c>
      <c r="E7" s="8" t="inlineStr">
        <is>
          <t>03_Model_Routing_Resilience MR-05 — the WireGuard-down fire drill has never actually been run</t>
        </is>
      </c>
      <c r="F7" s="8" t="inlineStr">
        <is>
          <t>Model/Routing Engineer</t>
        </is>
      </c>
    </row>
    <row r="8">
      <c r="A8" s="8" t="n">
        <v>4</v>
      </c>
      <c r="B8" s="8" t="inlineStr">
        <is>
          <t>Least privilege</t>
        </is>
      </c>
      <c r="C8" s="8" t="inlineStr">
        <is>
          <t>Every credential and tool scoped to the minimum it needs. salt-hermes-infra (no wheel/runner) is the model to copy everywhere else.</t>
        </is>
      </c>
      <c r="D8" s="8" t="inlineStr">
        <is>
          <t>Partial</t>
        </is>
      </c>
      <c r="E8" s="8" t="inlineStr">
        <is>
          <t>04_Tool_MCP_Layer TM-11, 12_Security_Hardening SH-04 — only Salt's scope has actually been reviewed this way</t>
        </is>
      </c>
      <c r="F8" s="8" t="inlineStr">
        <is>
          <t>Security Reviewer</t>
        </is>
      </c>
    </row>
    <row r="9">
      <c r="A9" s="8" t="n">
        <v>5</v>
      </c>
      <c r="B9" s="8" t="inlineStr">
        <is>
          <t>One deployment per capability</t>
        </is>
      </c>
      <c r="C9" s="8" t="inlineStr">
        <is>
          <t>A given tool/capability exists in exactly one place. No copy-per-environment to keep in sync by hand.</t>
        </is>
      </c>
      <c r="D9" s="8" t="inlineStr">
        <is>
          <t>No</t>
        </is>
      </c>
      <c r="E9" s="8" t="inlineStr">
        <is>
          <t>vault_mcp.py is deployed 4x (hermes-vps, Claude Code, Codex, project .codex) — see TM-06 / SV-12</t>
        </is>
      </c>
      <c r="F9" s="8" t="inlineStr">
        <is>
          <t>Hermes Design Specialist</t>
        </is>
      </c>
    </row>
    <row r="10">
      <c r="A10" s="8" t="n">
        <v>6</v>
      </c>
      <c r="B10" s="8" t="inlineStr">
        <is>
          <t>Reproducible, not hand-built</t>
        </is>
      </c>
      <c r="C10" s="8" t="inlineStr">
        <is>
          <t>Infra/config changes are scripted and repeatable, not one-off manual edits nobody can redo identically.</t>
        </is>
      </c>
      <c r="D10" s="8" t="inlineStr">
        <is>
          <t>Partial</t>
        </is>
      </c>
      <c r="E10" s="8" t="inlineStr">
        <is>
          <t>01_Core_Runtime CR-13 — a raw YAML parse+dump already silently destroyed config.yaml's comments once</t>
        </is>
      </c>
      <c r="F10" s="8" t="inlineStr">
        <is>
          <t>Platform/SRE</t>
        </is>
      </c>
    </row>
    <row r="11">
      <c r="A11" s="8" t="n">
        <v>7</v>
      </c>
      <c r="B11" s="8" t="inlineStr">
        <is>
          <t>Secrets never in plaintext at rest outside the vault</t>
        </is>
      </c>
      <c r="C11" s="8" t="inlineStr">
        <is>
          <t>Every real credential lives only in the vault; config files and shares hold no plaintext secrets.</t>
        </is>
      </c>
      <c r="D11" s="8" t="inlineStr">
        <is>
          <t>No</t>
        </is>
      </c>
      <c r="E11" s="8" t="inlineStr">
        <is>
          <t>05_Secrets_Vault SV-08 — /Dockers share exposes every container's .env in plaintext by design</t>
        </is>
      </c>
      <c r="F11" s="8" t="inlineStr">
        <is>
          <t>Secrets Custodian</t>
        </is>
      </c>
    </row>
    <row r="12">
      <c r="A12" s="8" t="n">
        <v>8</v>
      </c>
      <c r="B12" s="8" t="inlineStr">
        <is>
          <t>Observable without SSH</t>
        </is>
      </c>
      <c r="C12" s="8" t="inlineStr">
        <is>
          <t>Every critical path (tunnel, local model, gateway, VPS) has a health signal a human can see without logging into a box.</t>
        </is>
      </c>
      <c r="D12" s="8" t="inlineStr">
        <is>
          <t>No</t>
        </is>
      </c>
      <c r="E12" s="8" t="inlineStr">
        <is>
          <t>09_Observability — no alerting or dashboard exists for any of these yet</t>
        </is>
      </c>
      <c r="F12" s="8" t="inlineStr">
        <is>
          <t>Observability</t>
        </is>
      </c>
    </row>
    <row r="13">
      <c r="A13" s="8" t="n">
        <v>9</v>
      </c>
      <c r="B13" s="8" t="inlineStr">
        <is>
          <t>Backups are tested, not just taken</t>
        </is>
      </c>
      <c r="C13" s="8" t="inlineStr">
        <is>
          <t>A backup that's never been restored is a hypothesis.</t>
        </is>
      </c>
      <c r="D13" s="8" t="inlineStr">
        <is>
          <t>No</t>
        </is>
      </c>
      <c r="E13" s="8" t="inlineStr">
        <is>
          <t>10_Backup_DR BD-05 — no restore has ever been tested, and hermes-vps itself isn't backed up at all (BD-02)</t>
        </is>
      </c>
      <c r="F13" s="8" t="inlineStr">
        <is>
          <t>Platform/SRE</t>
        </is>
      </c>
    </row>
    <row r="14">
      <c r="A14" s="8" t="n">
        <v>10</v>
      </c>
      <c r="B14" s="8" t="inlineStr">
        <is>
          <t>Repeatable promotion path for new capabilities</t>
        </is>
      </c>
      <c r="C14" s="8" t="inlineStr">
        <is>
          <t>Turning a home-network resource into a Hermes tool follows a documented playbook, not ad hoc judgment each time.</t>
        </is>
      </c>
      <c r="D14" s="8" t="inlineStr">
        <is>
          <t>No</t>
        </is>
      </c>
      <c r="E14" s="8" t="inlineStr">
        <is>
          <t>04_Tool_MCP_Layer TM-10, 13_Governance GV-01 — no playbook written yet</t>
        </is>
      </c>
      <c r="F14" s="8" t="inlineStr">
        <is>
          <t>Hermes Design Specialist</t>
        </is>
      </c>
    </row>
    <row r="15">
      <c r="A15" s="8" t="n">
        <v>11</v>
      </c>
      <c r="B15" s="8" t="inlineStr">
        <is>
          <t>Cost is visible and bounded</t>
        </is>
      </c>
      <c r="C15" s="8" t="inlineStr">
        <is>
          <t>Spend on every paid tier (Codex, Modal) is visible and capped, not discovered after the fact.</t>
        </is>
      </c>
      <c r="D15" s="8" t="inlineStr">
        <is>
          <t>Partial</t>
        </is>
      </c>
      <c r="E15" s="8" t="inlineStr">
        <is>
          <t>11_Cost_Subscriptions CS-04/CS-05 — Vultr and Plus are known; Modal and a total rollup are not</t>
        </is>
      </c>
      <c r="F15" s="8" t="inlineStr">
        <is>
          <t>Product Owner (Mark)</t>
        </is>
      </c>
    </row>
    <row r="16">
      <c r="A16" s="8" t="n">
        <v>12</v>
      </c>
      <c r="B16" s="8" t="inlineStr">
        <is>
          <t>Exposure is reviewed before it goes live, not after</t>
        </is>
      </c>
      <c r="C16" s="8" t="inlineStr">
        <is>
          <t>New network/tool exposure gets a security pass before shipping, not a retroactive audit.</t>
        </is>
      </c>
      <c r="D16" s="8" t="inlineStr">
        <is>
          <t>No</t>
        </is>
      </c>
      <c r="E16" s="8" t="inlineStr">
        <is>
          <t>12_Security_Hardening SH-02 — the gateway's unauthenticated-shell combination shipped and is still live</t>
        </is>
      </c>
      <c r="F16" s="8" t="inlineStr">
        <is>
          <t>Security Reviewer</t>
        </is>
      </c>
    </row>
    <row r="17">
      <c r="A17" s="8" t="n">
        <v>13</v>
      </c>
      <c r="B17" s="8" t="inlineStr">
        <is>
          <t>Changes are tracked</t>
        </is>
      </c>
      <c r="C17" s="8" t="inlineStr">
        <is>
          <t>Who changed hermes-vps's config, and when, is recorded somewhere durable.</t>
        </is>
      </c>
      <c r="D17" s="8" t="inlineStr">
        <is>
          <t>No</t>
        </is>
      </c>
      <c r="E17" s="8" t="inlineStr">
        <is>
          <t>13_Governance_Change_Mgmt GV-03 — no change log exists</t>
        </is>
      </c>
      <c r="F17" s="8" t="inlineStr">
        <is>
          <t>Hermes Design Specialist</t>
        </is>
      </c>
    </row>
  </sheetData>
  <mergeCells count="2">
    <mergeCell ref="A2:F2"/>
    <mergeCell ref="A1:F1"/>
  </mergeCells>
  <conditionalFormatting sqref="D5:D17">
    <cfRule type="cellIs" priority="1" operator="equal" dxfId="0">
      <formula>"No"</formula>
    </cfRule>
    <cfRule type="cellIs" priority="2" operator="equal" dxfId="1">
      <formula>"Partial"</formula>
    </cfRule>
    <cfRule type="cellIs" priority="3" operator="equal" dxfId="1">
      <formula>"Unverified"</formula>
    </cfRule>
    <cfRule type="cellIs" priority="4" operator="equal" dxfId="2">
      <formula>"Yes"</formula>
    </cfRule>
  </conditionalFormatting>
  <pageMargins left="0.75" right="0.75" top="1" bottom="1" header="0.5" footer="0.5"/>
</worksheet>
</file>

<file path=xl/worksheets/sheet3.xml><?xml version="1.0" encoding="utf-8"?>
<worksheet xmlns="http://schemas.openxmlformats.org/spreadsheetml/2006/main">
  <sheetPr>
    <tabColor rgb="000E7C7B"/>
    <outlinePr summaryBelow="1" summaryRight="1"/>
    <pageSetUpPr/>
  </sheetPr>
  <dimension ref="A1:D13"/>
  <sheetViews>
    <sheetView showGridLines="0" workbookViewId="0">
      <pane ySplit="4" topLeftCell="A5" activePane="bottomLeft" state="frozen"/>
      <selection pane="bottomLeft" activeCell="A1" sqref="A1"/>
    </sheetView>
  </sheetViews>
  <sheetFormatPr baseColWidth="8" defaultRowHeight="15"/>
  <cols>
    <col width="26" customWidth="1" min="1" max="1"/>
    <col width="48" customWidth="1" min="2" max="2"/>
    <col width="40" customWidth="1" min="3" max="3"/>
    <col width="34" customWidth="1" min="4" max="4"/>
  </cols>
  <sheetData>
    <row r="1" ht="22" customHeight="1">
      <c r="A1" s="6" t="inlineStr">
        <is>
          <t>Roles</t>
        </is>
      </c>
    </row>
    <row r="2">
      <c r="A2" s="2" t="inlineStr">
        <is>
          <t>One person (you) plays all of these today — naming them separately keeps 'who approves this' and 'who's affected by this' distinct.</t>
        </is>
      </c>
    </row>
    <row r="4">
      <c r="A4" s="7" t="inlineStr">
        <is>
          <t>Role</t>
        </is>
      </c>
      <c r="B4" s="7" t="inlineStr">
        <is>
          <t>Charter</t>
        </is>
      </c>
      <c r="C4" s="7" t="inlineStr">
        <is>
          <t>Decides / owns</t>
        </is>
      </c>
      <c r="D4" s="7" t="inlineStr">
        <is>
          <t>Tabs where this role appears most</t>
        </is>
      </c>
    </row>
    <row r="5">
      <c r="A5" s="8" t="inlineStr">
        <is>
          <t>Hermes Design Specialist</t>
        </is>
      </c>
      <c r="B5" s="8" t="inlineStr">
        <is>
          <t>Guards architectural coherence — the one role whose job is to keep asking 'does this belong on the VPS or the home network, and does it match the Hermes Way standards.' Reviews any new capability BEFORE it's built, not after.</t>
        </is>
      </c>
      <c r="C5" s="8" t="inlineStr">
        <is>
          <t>Where a capability lives; whether scope creep (like Salt/MeshCentral) gets ratified or rolled back; final call on anything tagged Violation.</t>
        </is>
      </c>
      <c r="D5" s="8" t="inlineStr">
        <is>
          <t>00_Hermes_Way_Standards, 02_Identity_Memory, 06_Home_Network_Boundary, 13_Governance</t>
        </is>
      </c>
    </row>
    <row r="6">
      <c r="A6" s="8" t="inlineStr">
        <is>
          <t>Platform / SRE</t>
        </is>
      </c>
      <c r="B6" s="8" t="inlineStr">
        <is>
          <t>Keeps hermes-vps itself alive, patched, backed up, and reproducible.</t>
        </is>
      </c>
      <c r="C6" s="8" t="inlineStr">
        <is>
          <t>VPS infra, Dokploy, systemd services, backup/restore, patch cadence.</t>
        </is>
      </c>
      <c r="D6" s="8" t="inlineStr">
        <is>
          <t>01_Core_Runtime, 10_Backup_DR</t>
        </is>
      </c>
    </row>
    <row r="7">
      <c r="A7" s="8" t="inlineStr">
        <is>
          <t>Secrets Custodian</t>
        </is>
      </c>
      <c r="B7" s="8" t="inlineStr">
        <is>
          <t>Owns the vault end to end — what's in it, what's still outside it, rotation.</t>
        </is>
      </c>
      <c r="C7" s="8" t="inlineStr">
        <is>
          <t>What gets vaulted, in what order, and the rotation policy.</t>
        </is>
      </c>
      <c r="D7" s="8" t="inlineStr">
        <is>
          <t>05_Secrets_Vault</t>
        </is>
      </c>
    </row>
    <row r="8">
      <c r="A8" s="8" t="inlineStr">
        <is>
          <t>Model / Routing Engineer</t>
        </is>
      </c>
      <c r="B8" s="8" t="inlineStr">
        <is>
          <t>Owns the local-vs-Codex decision logic and the local runtime itself.</t>
        </is>
      </c>
      <c r="C8" s="8" t="inlineStr">
        <is>
          <t>Runtime/model choice on w_workstation; routing/judge behavior; the WireGuard-down fire drill.</t>
        </is>
      </c>
      <c r="D8" s="8" t="inlineStr">
        <is>
          <t>03_Model_Routing_Resilience, 07_Local_Inference</t>
        </is>
      </c>
    </row>
    <row r="9">
      <c r="A9" s="8" t="inlineStr">
        <is>
          <t>Security Reviewer</t>
        </is>
      </c>
      <c r="B9" s="8" t="inlineStr">
        <is>
          <t>Finds and closes exposure — the role that would have flagged the gateway shell-access combo before it shipped.</t>
        </is>
      </c>
      <c r="C9" s="8" t="inlineStr">
        <is>
          <t>Network exposure, least-privilege scoping, incident response.</t>
        </is>
      </c>
      <c r="D9" s="8" t="inlineStr">
        <is>
          <t>06_Home_Network_Boundary, 12_Security_Hardening</t>
        </is>
      </c>
    </row>
    <row r="10">
      <c r="A10" s="8" t="inlineStr">
        <is>
          <t>Home-Network Liaison</t>
        </is>
      </c>
      <c r="B10" s="8" t="inlineStr">
        <is>
          <t>Represents the home network's interests as a capability provider — keeps it from quietly becoming a second place Hermes 'lives.'</t>
        </is>
      </c>
      <c r="C10" s="8" t="inlineStr">
        <is>
          <t>What crosses the WireGuard tunnel and why; Salt/MeshCentral scope.</t>
        </is>
      </c>
      <c r="D10" s="8" t="inlineStr">
        <is>
          <t>06_Home_Network_Boundary, 07_Local_Inference, 04_Tool_MCP_Layer</t>
        </is>
      </c>
    </row>
    <row r="11">
      <c r="A11" s="8" t="inlineStr">
        <is>
          <t>Interface Engineer</t>
        </is>
      </c>
      <c r="B11" s="8" t="inlineStr">
        <is>
          <t>Owns every door into Hermes — web UI, Desktop, Signal/Telegram — and that they all lead to the same place.</t>
        </is>
      </c>
      <c r="C11" s="8" t="inlineStr">
        <is>
          <t>Auth mechanism, channel rollout, cross-interface continuity testing.</t>
        </is>
      </c>
      <c r="D11" s="8" t="inlineStr">
        <is>
          <t>08_Interfaces_Access</t>
        </is>
      </c>
    </row>
    <row r="12">
      <c r="A12" s="8" t="inlineStr">
        <is>
          <t>Observability</t>
        </is>
      </c>
      <c r="B12" s="8" t="inlineStr">
        <is>
          <t>Makes sure state is visible without SSH.</t>
        </is>
      </c>
      <c r="C12" s="8" t="inlineStr">
        <is>
          <t>What gets logged, alerted, and dashboarded.</t>
        </is>
      </c>
      <c r="D12" s="8" t="inlineStr">
        <is>
          <t>09_Observability</t>
        </is>
      </c>
    </row>
    <row r="13">
      <c r="A13" s="8" t="inlineStr">
        <is>
          <t>Product Owner (Mark)</t>
        </is>
      </c>
      <c r="B13" s="8" t="inlineStr">
        <is>
          <t>Final authority — approves spend, approves the finish line, decides when Claude Pro actually gets canceled.</t>
        </is>
      </c>
      <c r="C13" s="8" t="inlineStr">
        <is>
          <t>Budget, go/no-go on CS-03, which open risks are acceptable to carry.</t>
        </is>
      </c>
      <c r="D13" s="8" t="inlineStr">
        <is>
          <t>00_Scorecard, 11_Cost_Subscriptions</t>
        </is>
      </c>
    </row>
  </sheetData>
  <mergeCells count="2">
    <mergeCell ref="A1:D1"/>
    <mergeCell ref="A2:D2"/>
  </mergeCells>
  <pageMargins left="0.75" right="0.75" top="1" bottom="1" header="0.5" footer="0.5"/>
</worksheet>
</file>

<file path=xl/worksheets/sheet4.xml><?xml version="1.0" encoding="utf-8"?>
<worksheet xmlns="http://schemas.openxmlformats.org/spreadsheetml/2006/main">
  <sheetPr>
    <tabColor rgb="000E7C7B"/>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38" customWidth="1" min="2" max="2"/>
    <col width="13" customWidth="1" min="3" max="3"/>
    <col width="14" customWidth="1" min="4" max="4"/>
    <col width="13" customWidth="1" min="5" max="5"/>
  </cols>
  <sheetData>
    <row r="1" ht="22" customHeight="1">
      <c r="A1" s="6" t="inlineStr">
        <is>
          <t>Scorecard — the point-based finish line</t>
        </is>
      </c>
    </row>
    <row r="2">
      <c r="A2" s="2" t="inlineStr">
        <is>
          <t>Points reflect how load-bearing a row is, not effort. Earned points update automatically as Status changes on each tab.</t>
        </is>
      </c>
    </row>
    <row r="4">
      <c r="A4" s="9" t="inlineStr">
        <is>
          <t>Tab</t>
        </is>
      </c>
      <c r="B4" s="9" t="inlineStr">
        <is>
          <t>Domain</t>
        </is>
      </c>
      <c r="C4" s="9" t="inlineStr">
        <is>
          <t>Total Points</t>
        </is>
      </c>
      <c r="D4" s="9" t="inlineStr">
        <is>
          <t>Points Earned</t>
        </is>
      </c>
      <c r="E4" s="9" t="inlineStr">
        <is>
          <t>% Complete</t>
        </is>
      </c>
    </row>
    <row r="5">
      <c r="A5" s="10" t="inlineStr">
        <is>
          <t>01_Core_Runtime</t>
        </is>
      </c>
      <c r="B5" s="10" t="inlineStr">
        <is>
          <t>Hermes Core Runtime</t>
        </is>
      </c>
      <c r="C5" s="10">
        <f>SUM('01_Core_Runtime'!G5:G50)</f>
        <v/>
      </c>
      <c r="D5" s="10">
        <f>SUM('01_Core_Runtime'!H5:H50)</f>
        <v/>
      </c>
      <c r="E5" s="11">
        <f>IFERROR(D5/C5,0)</f>
        <v/>
      </c>
    </row>
    <row r="6">
      <c r="A6" s="10" t="inlineStr">
        <is>
          <t>02_Identity_Memory</t>
        </is>
      </c>
      <c r="B6" s="10" t="inlineStr">
        <is>
          <t>Identity &amp; Memory Continuity</t>
        </is>
      </c>
      <c r="C6" s="10">
        <f>SUM('02_Identity_Memory'!G5:G43)</f>
        <v/>
      </c>
      <c r="D6" s="10">
        <f>SUM('02_Identity_Memory'!H5:H43)</f>
        <v/>
      </c>
      <c r="E6" s="11">
        <f>IFERROR(D6/C6,0)</f>
        <v/>
      </c>
    </row>
    <row r="7">
      <c r="A7" s="10" t="inlineStr">
        <is>
          <t>03_Model_Routing_Resilience</t>
        </is>
      </c>
      <c r="B7" s="10" t="inlineStr">
        <is>
          <t>Model, Provider &amp; Resilience</t>
        </is>
      </c>
      <c r="C7" s="10">
        <f>SUM('03_Model_Routing_Resilience'!G5:G46)</f>
        <v/>
      </c>
      <c r="D7" s="10">
        <f>SUM('03_Model_Routing_Resilience'!H5:H46)</f>
        <v/>
      </c>
      <c r="E7" s="11">
        <f>IFERROR(D7/C7,0)</f>
        <v/>
      </c>
    </row>
    <row r="8">
      <c r="A8" s="10" t="inlineStr">
        <is>
          <t>04_Tool_MCP_Layer</t>
        </is>
      </c>
      <c r="B8" s="10" t="inlineStr">
        <is>
          <t>Tool / MCP Capability Layer</t>
        </is>
      </c>
      <c r="C8" s="10">
        <f>SUM('04_Tool_MCP_Layer'!G5:G47)</f>
        <v/>
      </c>
      <c r="D8" s="10">
        <f>SUM('04_Tool_MCP_Layer'!H5:H47)</f>
        <v/>
      </c>
      <c r="E8" s="11">
        <f>IFERROR(D8/C8,0)</f>
        <v/>
      </c>
    </row>
    <row r="9">
      <c r="A9" s="10" t="inlineStr">
        <is>
          <t>05_Secrets_Vault</t>
        </is>
      </c>
      <c r="B9" s="10" t="inlineStr">
        <is>
          <t>Secrets &amp; Vault</t>
        </is>
      </c>
      <c r="C9" s="10">
        <f>SUM('05_Secrets_Vault'!G5:G49)</f>
        <v/>
      </c>
      <c r="D9" s="10">
        <f>SUM('05_Secrets_Vault'!H5:H49)</f>
        <v/>
      </c>
      <c r="E9" s="11">
        <f>IFERROR(D9/C9,0)</f>
        <v/>
      </c>
    </row>
    <row r="10">
      <c r="A10" s="10" t="inlineStr">
        <is>
          <t>06_Home_Network_Boundary</t>
        </is>
      </c>
      <c r="B10" s="10" t="inlineStr">
        <is>
          <t>Home-Network Capability Boundary</t>
        </is>
      </c>
      <c r="C10" s="10">
        <f>SUM('06_Home_Network_Boundary'!G5:G42)</f>
        <v/>
      </c>
      <c r="D10" s="10">
        <f>SUM('06_Home_Network_Boundary'!H5:H42)</f>
        <v/>
      </c>
      <c r="E10" s="11">
        <f>IFERROR(D10/C10,0)</f>
        <v/>
      </c>
    </row>
    <row r="11">
      <c r="A11" s="10" t="inlineStr">
        <is>
          <t>07_Local_Inference</t>
        </is>
      </c>
      <c r="B11" s="10" t="inlineStr">
        <is>
          <t>Local Inference Tier</t>
        </is>
      </c>
      <c r="C11" s="10">
        <f>SUM('07_Local_Inference'!G5:G46)</f>
        <v/>
      </c>
      <c r="D11" s="10">
        <f>SUM('07_Local_Inference'!H5:H46)</f>
        <v/>
      </c>
      <c r="E11" s="11">
        <f>IFERROR(D11/C11,0)</f>
        <v/>
      </c>
    </row>
    <row r="12">
      <c r="A12" s="10" t="inlineStr">
        <is>
          <t>08_Interfaces_Access</t>
        </is>
      </c>
      <c r="B12" s="10" t="inlineStr">
        <is>
          <t>Interfaces &amp; Access Paths</t>
        </is>
      </c>
      <c r="C12" s="10">
        <f>SUM('08_Interfaces_Access'!G5:G43)</f>
        <v/>
      </c>
      <c r="D12" s="10">
        <f>SUM('08_Interfaces_Access'!H5:H43)</f>
        <v/>
      </c>
      <c r="E12" s="11">
        <f>IFERROR(D12/C12,0)</f>
        <v/>
      </c>
    </row>
    <row r="13">
      <c r="A13" s="10" t="inlineStr">
        <is>
          <t>09_Observability</t>
        </is>
      </c>
      <c r="B13" s="10" t="inlineStr">
        <is>
          <t>Observability</t>
        </is>
      </c>
      <c r="C13" s="10">
        <f>SUM('09_Observability'!G5:G40)</f>
        <v/>
      </c>
      <c r="D13" s="10">
        <f>SUM('09_Observability'!H5:H40)</f>
        <v/>
      </c>
      <c r="E13" s="11">
        <f>IFERROR(D13/C13,0)</f>
        <v/>
      </c>
    </row>
    <row r="14">
      <c r="A14" s="10" t="inlineStr">
        <is>
          <t>10_Backup_DR</t>
        </is>
      </c>
      <c r="B14" s="10" t="inlineStr">
        <is>
          <t>Backup &amp; Disaster Recovery</t>
        </is>
      </c>
      <c r="C14" s="10">
        <f>SUM('10_Backup_DR'!G5:G40)</f>
        <v/>
      </c>
      <c r="D14" s="10">
        <f>SUM('10_Backup_DR'!H5:H40)</f>
        <v/>
      </c>
      <c r="E14" s="11">
        <f>IFERROR(D14/C14,0)</f>
        <v/>
      </c>
    </row>
    <row r="15">
      <c r="A15" s="10" t="inlineStr">
        <is>
          <t>11_Cost_Subscriptions</t>
        </is>
      </c>
      <c r="B15" s="10" t="inlineStr">
        <is>
          <t>Cost &amp; Subscriptions</t>
        </is>
      </c>
      <c r="C15" s="10">
        <f>SUM('11_Cost_Subscriptions'!G5:G40)</f>
        <v/>
      </c>
      <c r="D15" s="10">
        <f>SUM('11_Cost_Subscriptions'!H5:H40)</f>
        <v/>
      </c>
      <c r="E15" s="11">
        <f>IFERROR(D15/C15,0)</f>
        <v/>
      </c>
    </row>
    <row r="16">
      <c r="A16" s="10" t="inlineStr">
        <is>
          <t>12_Security_Hardening</t>
        </is>
      </c>
      <c r="B16" s="10" t="inlineStr">
        <is>
          <t>Security &amp; Hardening</t>
        </is>
      </c>
      <c r="C16" s="10">
        <f>SUM('12_Security_Hardening'!G5:G42)</f>
        <v/>
      </c>
      <c r="D16" s="10">
        <f>SUM('12_Security_Hardening'!H5:H42)</f>
        <v/>
      </c>
      <c r="E16" s="11">
        <f>IFERROR(D16/C16,0)</f>
        <v/>
      </c>
    </row>
    <row r="17">
      <c r="A17" s="10" t="inlineStr">
        <is>
          <t>13_Governance_Change_Mgmt</t>
        </is>
      </c>
      <c r="B17" s="10" t="inlineStr">
        <is>
          <t>Governance &amp; Change Management</t>
        </is>
      </c>
      <c r="C17" s="10">
        <f>SUM('13_Governance_Change_Mgmt'!G5:G40)</f>
        <v/>
      </c>
      <c r="D17" s="10">
        <f>SUM('13_Governance_Change_Mgmt'!H5:H40)</f>
        <v/>
      </c>
      <c r="E17" s="11">
        <f>IFERROR(D17/C17,0)</f>
        <v/>
      </c>
    </row>
    <row r="18">
      <c r="A18" s="10" t="inlineStr">
        <is>
          <t>14_Claude_Code_Parity</t>
        </is>
      </c>
      <c r="B18" s="10" t="inlineStr">
        <is>
          <t>Claude Code → Hermes Parity</t>
        </is>
      </c>
      <c r="C18" s="10">
        <f>SUM('14_Claude_Code_Parity'!G5:G46)</f>
        <v/>
      </c>
      <c r="D18" s="10">
        <f>SUM('14_Claude_Code_Parity'!H5:H46)</f>
        <v/>
      </c>
      <c r="E18" s="11">
        <f>IFERROR(D18/C18,0)</f>
        <v/>
      </c>
    </row>
    <row r="19">
      <c r="A19" s="10" t="inlineStr">
        <is>
          <t>15_Productivity_And_Acceptance</t>
        </is>
      </c>
      <c r="B19" s="10" t="inlineStr">
        <is>
          <t>Productivity &amp; Acceptance Testing</t>
        </is>
      </c>
      <c r="C19" s="10">
        <f>SUM('15_Productivity_And_Acceptance'!G5:G46)</f>
        <v/>
      </c>
      <c r="D19" s="10">
        <f>SUM('15_Productivity_And_Acceptance'!H5:H46)</f>
        <v/>
      </c>
      <c r="E19" s="11">
        <f>IFERROR(D19/C19,0)</f>
        <v/>
      </c>
    </row>
    <row r="20">
      <c r="A20" s="12" t="inlineStr">
        <is>
          <t>GRAND TOTAL</t>
        </is>
      </c>
      <c r="B20" s="13" t="n"/>
      <c r="C20" s="12">
        <f>SUM(C5:C19)</f>
        <v/>
      </c>
      <c r="D20" s="12">
        <f>SUM(D5:D19)</f>
        <v/>
      </c>
      <c r="E20" s="14">
        <f>IFERROR(D20/C20,0)</f>
        <v/>
      </c>
    </row>
    <row r="22">
      <c r="A22" s="15" t="inlineStr">
        <is>
          <t>FINISH LINE</t>
        </is>
      </c>
    </row>
    <row r="23" ht="30" customHeight="1">
      <c r="A23" s="16" t="inlineStr">
        <is>
          <t>Hermes is 'fully realized' when ALL of the following are true at once — not just an overall percentage:</t>
        </is>
      </c>
    </row>
    <row r="24" ht="30" customHeight="1">
      <c r="A24" s="16" t="inlineStr">
        <is>
          <t xml:space="preserve">  1. Grand Total % Complete above is 100%, or every remaining open row has a deliberate, written decision to leave it for later.</t>
        </is>
      </c>
    </row>
    <row r="25" ht="30" customHeight="1">
      <c r="A25" s="16" t="inlineStr">
        <is>
          <t xml:space="preserve">  2. 03_Model_Routing_Resilience row MR-05 (WireGuard-down fire drill) is Done — this is the actual proof of the core promise.</t>
        </is>
      </c>
    </row>
    <row r="26" ht="30" customHeight="1">
      <c r="A26" s="16" t="inlineStr">
        <is>
          <t xml:space="preserve">  3. 02_Identity_Memory rows IM-01 through IM-04 are Done — same Hermes, every interface, every location.</t>
        </is>
      </c>
    </row>
    <row r="27" ht="30" customHeight="1">
      <c r="A27" s="16" t="inlineStr">
        <is>
          <t xml:space="preserve">  4. 14_Claude_Code_Parity row CCP-12 is Done — Hermes can maintain this project itself, so Claude Code's bootstrap role actually ends, not just gets described as temporary.</t>
        </is>
      </c>
    </row>
    <row r="28" ht="30" customHeight="1">
      <c r="A28" s="16" t="inlineStr">
        <is>
          <t xml:space="preserve">  5. Only then: 11_Cost_Subscriptions CS-03 (cancel Claude Pro) gets executed.</t>
        </is>
      </c>
    </row>
    <row r="30">
      <c r="A30" s="15" t="inlineStr">
        <is>
          <t>LEGACY GOALS (catalog G1-G9) MAPPED TO THIS WORKBOOK</t>
        </is>
      </c>
    </row>
    <row r="31">
      <c r="A31" s="9" t="inlineStr">
        <is>
          <t>Goal</t>
        </is>
      </c>
      <c r="B31" s="9" t="inlineStr">
        <is>
          <t>Catalog status</t>
        </is>
      </c>
      <c r="C31" s="9" t="inlineStr">
        <is>
          <t>Detail</t>
        </is>
      </c>
      <c r="D31" s="17" t="n"/>
      <c r="E31" s="18" t="n"/>
    </row>
    <row r="33" ht="44" customHeight="1">
      <c r="A33" s="8" t="inlineStr">
        <is>
          <t>G1 — Hermes &lt;-&gt; local model, one real exchange</t>
        </is>
      </c>
      <c r="B33" s="8" t="inlineStr">
        <is>
          <t>in_progress</t>
        </is>
      </c>
      <c r="C33" s="8" t="inlineStr">
        <is>
          <t>Required: confirmed reachable + one real exchange with the local model. Lives in 03_Model_Routing_Resilience; will need re-verification once 07_Local_Inference's runtime changes.</t>
        </is>
      </c>
      <c r="D33" s="19" t="n"/>
      <c r="E33" s="19" t="n"/>
    </row>
    <row r="34" ht="44" customHeight="1">
      <c r="A34" s="8" t="inlineStr">
        <is>
          <t>G2 — local runtime serving multiple models concurrently</t>
        </is>
      </c>
      <c r="B34" s="8" t="inlineStr">
        <is>
          <t>done (stale)</t>
        </is>
      </c>
      <c r="C34" s="8" t="inlineStr">
        <is>
          <t>Required: verified on Ollama, multiple qwen3-vl variants loaded. Lives in 07_Local_Inference LI-03/LI-04 — must be re-proven on whichever runtime replaces Ollama.</t>
        </is>
      </c>
      <c r="D34" s="19" t="n"/>
      <c r="E34" s="19" t="n"/>
    </row>
    <row r="35" ht="44" customHeight="1">
      <c r="A35" s="8" t="inlineStr">
        <is>
          <t>G3 — VPS provisioned, hermes serve running</t>
        </is>
      </c>
      <c r="B35" s="8" t="inlineStr">
        <is>
          <t>done</t>
        </is>
      </c>
      <c r="C35" s="8" t="inlineStr">
        <is>
          <t>Required: box up, agent process live. Lives in 01_Core_Runtime CR-01 to CR-03.</t>
        </is>
      </c>
      <c r="D35" s="19" t="n"/>
      <c r="E35" s="19" t="n"/>
    </row>
    <row r="36" ht="44" customHeight="1">
      <c r="A36" s="8" t="inlineStr">
        <is>
          <t>G4 — WireGuard tunnel, LAN reachable from VPS</t>
        </is>
      </c>
      <c r="B36" s="8" t="inlineStr">
        <is>
          <t>done</t>
        </is>
      </c>
      <c r="C36" s="8" t="inlineStr">
        <is>
          <t>Required: tunnel + subnet routing, verified end-to-end. Lives in 06_Home_Network_Boundary HN-01/HN-02.</t>
        </is>
      </c>
      <c r="D36" s="19" t="n"/>
      <c r="E36" s="19" t="n"/>
    </row>
    <row r="37" ht="44" customHeight="1">
      <c r="A37" s="8" t="inlineStr">
        <is>
          <t>G5 — ChatGPT Plus linked, Codex used for real task</t>
        </is>
      </c>
      <c r="B37" s="8" t="inlineStr">
        <is>
          <t>done</t>
        </is>
      </c>
      <c r="C37" s="8" t="inlineStr">
        <is>
          <t>Required: native link+code flow, one real coding task. Lives in 03_Model_Routing_Resilience MR-01.</t>
        </is>
      </c>
      <c r="D37" s="19" t="n"/>
      <c r="E37" s="19" t="n"/>
    </row>
    <row r="38" ht="44" customHeight="1">
      <c r="A38" s="8" t="inlineStr">
        <is>
          <t>G6 — Hermes Desktop on laptop, same experience 2 locations</t>
        </is>
      </c>
      <c r="B38" s="8" t="inlineStr">
        <is>
          <t>not_started</t>
        </is>
      </c>
      <c r="C38" s="8" t="inlineStr">
        <is>
          <t>Required: Desktop pointed at VPS backend, proven identical from two places. Lives in 08_Interfaces_Access IA-03/IA-04, blocked on 02_Identity_Memory IM-03.</t>
        </is>
      </c>
      <c r="D38" s="19" t="n"/>
      <c r="E38" s="19" t="n"/>
    </row>
    <row r="39" ht="44" customHeight="1">
      <c r="A39" s="8" t="inlineStr">
        <is>
          <t>G7 — Signal/Telegram wired up</t>
        </is>
      </c>
      <c r="B39" s="8" t="inlineStr">
        <is>
          <t>not_started</t>
        </is>
      </c>
      <c r="C39" s="8" t="inlineStr">
        <is>
          <t>Required: a real messaging channel on top of hermes-gateway. Lives in 08_Interfaces_Access IA-05.</t>
        </is>
      </c>
      <c r="D39" s="19" t="n"/>
      <c r="E39" s="19" t="n"/>
    </row>
    <row r="40" ht="44" customHeight="1">
      <c r="A40" s="8" t="inlineStr">
        <is>
          <t>G8 — local-first routing verified end-to-end</t>
        </is>
      </c>
      <c r="B40" s="8" t="inlineStr">
        <is>
          <t>not_started (likely already true, never marked)</t>
        </is>
      </c>
      <c r="C40" s="8" t="inlineStr">
        <is>
          <t>Required: one prompt stays local, one escalates, both observed. The router-llm-as-judge-rebuild-2026-09-28 catalog entry already shows this happened — update the catalog goal's status field to match.</t>
        </is>
      </c>
      <c r="D40" s="19" t="n"/>
      <c r="E40" s="19" t="n"/>
    </row>
    <row r="41" ht="44" customHeight="1">
      <c r="A41" s="8" t="inlineStr">
        <is>
          <t>G9 — Claude Pro canceled</t>
        </is>
      </c>
      <c r="B41" s="8" t="inlineStr">
        <is>
          <t>not_started</t>
        </is>
      </c>
      <c r="C41" s="8" t="inlineStr">
        <is>
          <t>Required: cancel once ChatGPT Plus/Codex covers the same ground. Lives in 11_Cost_Subscriptions CS-03 — the literal finish line.</t>
        </is>
      </c>
      <c r="D41" s="19" t="n"/>
      <c r="E41" s="19" t="n"/>
    </row>
  </sheetData>
  <mergeCells count="18">
    <mergeCell ref="C33:E33"/>
    <mergeCell ref="C36:E36"/>
    <mergeCell ref="A26:E26"/>
    <mergeCell ref="A24:E24"/>
    <mergeCell ref="A2:E2"/>
    <mergeCell ref="C37:E37"/>
    <mergeCell ref="C41:E41"/>
    <mergeCell ref="C31:E31"/>
    <mergeCell ref="A25:E25"/>
    <mergeCell ref="A28:E28"/>
    <mergeCell ref="C39:E39"/>
    <mergeCell ref="C40:E40"/>
    <mergeCell ref="A1:E1"/>
    <mergeCell ref="A23:E23"/>
    <mergeCell ref="C35:E35"/>
    <mergeCell ref="C34:E34"/>
    <mergeCell ref="A27:E27"/>
    <mergeCell ref="C38:E38"/>
  </mergeCells>
  <conditionalFormatting sqref="E5:E20">
    <cfRule type="dataBar" priority="1">
      <dataBar>
        <cfvo type="num" val="0"/>
        <cfvo type="num" val="1"/>
        <color rgb="000E7C7B"/>
      </dataBar>
    </cfRule>
  </conditionalFormatting>
  <pageMargins left="0.75" right="0.75" top="1" bottom="1" header="0.5" footer="0.5"/>
</worksheet>
</file>

<file path=xl/worksheets/sheet5.xml><?xml version="1.0" encoding="utf-8"?>
<worksheet xmlns="http://schemas.openxmlformats.org/spreadsheetml/2006/main">
  <sheetPr>
    <tabColor rgb="000E7C7B"/>
    <outlinePr summaryBelow="1" summaryRight="1"/>
    <pageSetUpPr/>
  </sheetPr>
  <dimension ref="A1:J5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Hermes Core Runtime</t>
        </is>
      </c>
    </row>
    <row r="2" ht="16" customHeight="1">
      <c r="A2" s="2" t="inlineStr">
        <is>
          <t>What IS Hermes — must run on hermes-vps only, never on a home box or a laptop.</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CR-01</t>
        </is>
      </c>
      <c r="B5" s="8" t="inlineStr">
        <is>
          <t>VPS provisioned</t>
        </is>
      </c>
      <c r="C5" s="8" t="inlineStr">
        <is>
          <t>Vultr High Performance AMD, Dallas TX — 2 vCPU / 4GB RAM / 100GB NVMe.</t>
        </is>
      </c>
      <c r="D5" s="8" t="inlineStr">
        <is>
          <t>Hermes-VPS</t>
        </is>
      </c>
      <c r="E5" s="8" t="inlineStr">
        <is>
          <t>Done</t>
        </is>
      </c>
      <c r="F5" s="8" t="inlineStr">
        <is>
          <t>hermes-vps live host</t>
        </is>
      </c>
      <c r="G5" s="8" t="n">
        <v>5</v>
      </c>
      <c r="H5" s="8">
        <f>IF(E5="Done",G5,IF(E5="Partial",G5*0.5,0))</f>
        <v/>
      </c>
      <c r="I5" s="8" t="inlineStr">
        <is>
          <t>Platform/SRE</t>
        </is>
      </c>
      <c r="J5" s="8" t="inlineStr"/>
    </row>
    <row r="6">
      <c r="A6" s="8" t="inlineStr">
        <is>
          <t>CR-02</t>
        </is>
      </c>
      <c r="B6" s="8" t="inlineStr">
        <is>
          <t>HermesAgent installed on a supported channel</t>
        </is>
      </c>
      <c r="C6" s="8" t="inlineStr">
        <is>
          <t>Originally v0.19.0 via pip/uv-tool (unsupported channel, 7 versions behind, vulnerable to CVE-2026-71963 RCE). Migrated 2026-09-29 to the supported install.sh/git channel, now v0.21.5+ — RCE fixed, all dependency CVEs cleared, re-verified end-to-end post-migration.</t>
        </is>
      </c>
      <c r="D6" s="8" t="inlineStr">
        <is>
          <t>Hermes-VPS</t>
        </is>
      </c>
      <c r="E6" s="8" t="inlineStr">
        <is>
          <t>Done</t>
        </is>
      </c>
      <c r="F6" s="8" t="inlineStr">
        <is>
          <t>hermes-migrated-to-supported-install-2026-09-29</t>
        </is>
      </c>
      <c r="G6" s="8" t="n">
        <v>5</v>
      </c>
      <c r="H6" s="8">
        <f>IF(E6="Done",G6,IF(E6="Partial",G6*0.5,0))</f>
        <v/>
      </c>
      <c r="I6" s="8" t="inlineStr">
        <is>
          <t>Platform/SRE</t>
        </is>
      </c>
      <c r="J6" s="8" t="inlineStr"/>
    </row>
    <row r="7">
      <c r="A7" s="8" t="inlineStr">
        <is>
          <t>CR-03</t>
        </is>
      </c>
      <c r="B7" s="8" t="inlineStr">
        <is>
          <t>hermes-gateway running persistently</t>
        </is>
      </c>
      <c r="C7" s="8" t="inlineStr">
        <is>
          <t>systemd service, survives reboot, no login dependency.</t>
        </is>
      </c>
      <c r="D7" s="8" t="inlineStr">
        <is>
          <t>Hermes-VPS</t>
        </is>
      </c>
      <c r="E7" s="8" t="inlineStr">
        <is>
          <t>Done</t>
        </is>
      </c>
      <c r="F7" s="8" t="inlineStr">
        <is>
          <t>hermes-gateway.service</t>
        </is>
      </c>
      <c r="G7" s="8" t="n">
        <v>8</v>
      </c>
      <c r="H7" s="8">
        <f>IF(E7="Done",G7,IF(E7="Partial",G7*0.5,0))</f>
        <v/>
      </c>
      <c r="I7" s="8" t="inlineStr">
        <is>
          <t>Platform/SRE</t>
        </is>
      </c>
      <c r="J7" s="8" t="inlineStr"/>
    </row>
    <row r="8">
      <c r="A8" s="8" t="inlineStr">
        <is>
          <t>CR-04</t>
        </is>
      </c>
      <c r="B8" s="8" t="inlineStr">
        <is>
          <t>VPS firewall active</t>
        </is>
      </c>
      <c r="C8" s="8" t="inlineStr">
        <is>
          <t>Real firewall rules in place (previously none at all).</t>
        </is>
      </c>
      <c r="D8" s="8" t="inlineStr">
        <is>
          <t>Hermes-VPS</t>
        </is>
      </c>
      <c r="E8" s="8" t="inlineStr">
        <is>
          <t>Done</t>
        </is>
      </c>
      <c r="F8" s="8" t="inlineStr">
        <is>
          <t>hermes-vps ufw/iptables</t>
        </is>
      </c>
      <c r="G8" s="8" t="n">
        <v>8</v>
      </c>
      <c r="H8" s="8">
        <f>IF(E8="Done",G8,IF(E8="Partial",G8*0.5,0))</f>
        <v/>
      </c>
      <c r="I8" s="8" t="inlineStr">
        <is>
          <t>Security Reviewer</t>
        </is>
      </c>
      <c r="J8" s="8" t="inlineStr"/>
    </row>
    <row r="9">
      <c r="A9" s="8" t="inlineStr">
        <is>
          <t>CR-05</t>
        </is>
      </c>
      <c r="B9" s="8" t="inlineStr">
        <is>
          <t>Docker + Dokploy installed</t>
        </is>
      </c>
      <c r="C9" s="8" t="inlineStr">
        <is>
          <t>Dokploy's own Traefik disabled to avoid conflicting with Caddy on 80/443.</t>
        </is>
      </c>
      <c r="D9" s="8" t="inlineStr">
        <is>
          <t>Hermes-VPS</t>
        </is>
      </c>
      <c r="E9" s="8" t="inlineStr">
        <is>
          <t>Done</t>
        </is>
      </c>
      <c r="F9" s="8" t="inlineStr">
        <is>
          <t>hermes-vps, Dokploy panel :3000 localhost-only</t>
        </is>
      </c>
      <c r="G9" s="8" t="n">
        <v>8</v>
      </c>
      <c r="H9" s="8">
        <f>IF(E9="Done",G9,IF(E9="Partial",G9*0.5,0))</f>
        <v/>
      </c>
      <c r="I9" s="8" t="inlineStr">
        <is>
          <t>Platform/SRE</t>
        </is>
      </c>
      <c r="J9" s="8" t="inlineStr"/>
    </row>
    <row r="10">
      <c r="A10" s="8" t="inlineStr">
        <is>
          <t>CR-06</t>
        </is>
      </c>
      <c r="B10" s="8" t="inlineStr">
        <is>
          <t>Dokploy admin credential in vault</t>
        </is>
      </c>
      <c r="C10" s="8" t="inlineStr">
        <is>
          <t>Panel login currently wherever it was set at install, not confirmed migrated.</t>
        </is>
      </c>
      <c r="D10" s="8" t="inlineStr">
        <is>
          <t>Hermes-VPS</t>
        </is>
      </c>
      <c r="E10" s="8" t="inlineStr">
        <is>
          <t>Partial</t>
        </is>
      </c>
      <c r="F10" s="8" t="inlineStr">
        <is>
          <t>vault — not yet present</t>
        </is>
      </c>
      <c r="G10" s="8" t="n">
        <v>5</v>
      </c>
      <c r="H10" s="8">
        <f>IF(E10="Done",G10,IF(E10="Partial",G10*0.5,0))</f>
        <v/>
      </c>
      <c r="I10" s="8" t="inlineStr">
        <is>
          <t>Secrets Custodian</t>
        </is>
      </c>
      <c r="J10" s="8" t="inlineStr">
        <is>
          <t>Add dokploy-admin secret</t>
        </is>
      </c>
    </row>
    <row r="11">
      <c r="A11" s="8" t="inlineStr">
        <is>
          <t>CR-07</t>
        </is>
      </c>
      <c r="B11" s="8" t="inlineStr">
        <is>
          <t>Dokploy exercised end-to-end</t>
        </is>
      </c>
      <c r="C11" s="8" t="inlineStr">
        <is>
          <t>Prove Hermes can actually deploy/manage a real container via Dokploy, not just have it installed.</t>
        </is>
      </c>
      <c r="D11" s="8" t="inlineStr">
        <is>
          <t>Hermes-VPS</t>
        </is>
      </c>
      <c r="E11" s="8" t="inlineStr">
        <is>
          <t>Not Started</t>
        </is>
      </c>
      <c r="F11" s="8" t="inlineStr"/>
      <c r="G11" s="8" t="n">
        <v>10</v>
      </c>
      <c r="H11" s="8">
        <f>IF(E11="Done",G11,IF(E11="Partial",G11*0.5,0))</f>
        <v/>
      </c>
      <c r="I11" s="8" t="inlineStr">
        <is>
          <t>Platform/SRE</t>
        </is>
      </c>
      <c r="J11" s="8" t="inlineStr">
        <is>
          <t>Deploy one throwaway container via the MCP path</t>
        </is>
      </c>
    </row>
    <row r="12">
      <c r="A12" s="8" t="inlineStr">
        <is>
          <t>CR-08</t>
        </is>
      </c>
      <c r="B12" s="8" t="inlineStr">
        <is>
          <t>Hermes-hosted web presence</t>
        </is>
      </c>
      <c r="C12" s="8" t="inlineStr">
        <is>
          <t>Hermes deploys and serves a web page it built itself — the literal 'agent can host a web page' capability from ARCHITECTURE.md.</t>
        </is>
      </c>
      <c r="D12" s="8" t="inlineStr">
        <is>
          <t>Hermes-VPS</t>
        </is>
      </c>
      <c r="E12" s="8" t="inlineStr">
        <is>
          <t>Not Started</t>
        </is>
      </c>
      <c r="F12" s="8" t="inlineStr"/>
      <c r="G12" s="8" t="n">
        <v>10</v>
      </c>
      <c r="H12" s="8">
        <f>IF(E12="Done",G12,IF(E12="Partial",G12*0.5,0))</f>
        <v/>
      </c>
      <c r="I12" s="8" t="inlineStr">
        <is>
          <t>Hermes Design Specialist</t>
        </is>
      </c>
      <c r="J12" s="8" t="inlineStr"/>
    </row>
    <row r="13">
      <c r="A13" s="8" t="inlineStr">
        <is>
          <t>CR-09</t>
        </is>
      </c>
      <c r="B13" s="8" t="inlineStr">
        <is>
          <t>hermes-vps registered in catalog hosts/services tables</t>
        </is>
      </c>
      <c r="C13" s="8" t="inlineStr">
        <is>
          <t>Currently only described in free-text entities + ARCHITECTURE.md — no structured row, so infra tooling has zero visibility into VPS state.</t>
        </is>
      </c>
      <c r="D13" s="8" t="inlineStr">
        <is>
          <t>Hermes-VPS</t>
        </is>
      </c>
      <c r="E13" s="8" t="inlineStr">
        <is>
          <t>Not Started</t>
        </is>
      </c>
      <c r="F13" s="8" t="inlineStr">
        <is>
          <t>catalog hosts/services tables — missing</t>
        </is>
      </c>
      <c r="G13" s="8" t="n">
        <v>8</v>
      </c>
      <c r="H13" s="8">
        <f>IF(E13="Done",G13,IF(E13="Partial",G13*0.5,0))</f>
        <v/>
      </c>
      <c r="I13" s="8" t="inlineStr">
        <is>
          <t>Platform/SRE</t>
        </is>
      </c>
      <c r="J13" s="8" t="inlineStr">
        <is>
          <t>Add hermes-vps as a host row, Caddy/Dokploy/gateway/router as service rows</t>
        </is>
      </c>
    </row>
    <row r="14">
      <c r="A14" s="8" t="inlineStr">
        <is>
          <t>CR-10</t>
        </is>
      </c>
      <c r="B14" s="8" t="inlineStr">
        <is>
          <t>OS/package patch cadence defined</t>
        </is>
      </c>
      <c r="C14" s="8" t="inlineStr">
        <is>
          <t>No documented policy for when/how the VPS gets security patches.</t>
        </is>
      </c>
      <c r="D14" s="8" t="inlineStr">
        <is>
          <t>Hermes-VPS</t>
        </is>
      </c>
      <c r="E14" s="8" t="inlineStr">
        <is>
          <t>Not Started</t>
        </is>
      </c>
      <c r="F14" s="8" t="inlineStr"/>
      <c r="G14" s="8" t="n">
        <v>5</v>
      </c>
      <c r="H14" s="8">
        <f>IF(E14="Done",G14,IF(E14="Partial",G14*0.5,0))</f>
        <v/>
      </c>
      <c r="I14" s="8" t="inlineStr">
        <is>
          <t>Platform/SRE</t>
        </is>
      </c>
      <c r="J14" s="8" t="inlineStr"/>
    </row>
    <row r="15">
      <c r="A15" s="8" t="inlineStr">
        <is>
          <t>CR-11</t>
        </is>
      </c>
      <c r="B15" s="8" t="inlineStr">
        <is>
          <t>hermes-agent version pin + upgrade process</t>
        </is>
      </c>
      <c r="C15" s="8" t="inlineStr">
        <is>
          <t>What triggers an upgrade, how it's tested before cutover.</t>
        </is>
      </c>
      <c r="D15" s="8" t="inlineStr">
        <is>
          <t>Hermes-VPS</t>
        </is>
      </c>
      <c r="E15" s="8" t="inlineStr">
        <is>
          <t>Not Started</t>
        </is>
      </c>
      <c r="F15" s="8" t="inlineStr"/>
      <c r="G15" s="8" t="n">
        <v>5</v>
      </c>
      <c r="H15" s="8">
        <f>IF(E15="Done",G15,IF(E15="Partial",G15*0.5,0))</f>
        <v/>
      </c>
      <c r="I15" s="8" t="inlineStr">
        <is>
          <t>Platform/SRE</t>
        </is>
      </c>
      <c r="J15" s="8" t="inlineStr"/>
    </row>
    <row r="16">
      <c r="A16" s="8" t="inlineStr">
        <is>
          <t>CR-12</t>
        </is>
      </c>
      <c r="B16" s="8" t="inlineStr">
        <is>
          <t>Resource headroom monitored</t>
        </is>
      </c>
      <c r="C16" s="8" t="inlineStr">
        <is>
          <t>4GB RAM is tight once more MCP servers/venvs stack up — needs a ceiling check, not just hope.</t>
        </is>
      </c>
      <c r="D16" s="8" t="inlineStr">
        <is>
          <t>Hermes-VPS</t>
        </is>
      </c>
      <c r="E16" s="8" t="inlineStr">
        <is>
          <t>Not Started</t>
        </is>
      </c>
      <c r="F16" s="8" t="inlineStr"/>
      <c r="G16" s="8" t="n">
        <v>5</v>
      </c>
      <c r="H16" s="8">
        <f>IF(E16="Done",G16,IF(E16="Partial",G16*0.5,0))</f>
        <v/>
      </c>
      <c r="I16" s="8" t="inlineStr">
        <is>
          <t>Platform/SRE</t>
        </is>
      </c>
      <c r="J16" s="8" t="inlineStr"/>
    </row>
    <row r="17">
      <c r="A17" s="8" t="inlineStr">
        <is>
          <t>CR-13</t>
        </is>
      </c>
      <c r="B17" s="8" t="inlineStr">
        <is>
          <t>config.yaml edits via comment-preserving method</t>
        </is>
      </c>
      <c r="C17" s="8" t="inlineStr">
        <is>
          <t>A prior full parse+dump via PyYAML silently stripped all comments; switch to ruamel.yaml or targeted text edits.</t>
        </is>
      </c>
      <c r="D17" s="8" t="inlineStr">
        <is>
          <t>Hermes-VPS</t>
        </is>
      </c>
      <c r="E17" s="8" t="inlineStr">
        <is>
          <t>Not Started</t>
        </is>
      </c>
      <c r="F17" s="8" t="inlineStr">
        <is>
          <t>scripts/ — no helper exists yet</t>
        </is>
      </c>
      <c r="G17" s="8" t="n">
        <v>3</v>
      </c>
      <c r="H17" s="8">
        <f>IF(E17="Done",G17,IF(E17="Partial",G17*0.5,0))</f>
        <v/>
      </c>
      <c r="I17" s="8" t="inlineStr">
        <is>
          <t>Platform/SRE</t>
        </is>
      </c>
      <c r="J17" s="8" t="inlineStr">
        <is>
          <t>config-yaml-comments-stripped-2026-09-30 incident</t>
        </is>
      </c>
    </row>
    <row r="18">
      <c r="A18" s="8" t="inlineStr">
        <is>
          <t>CR-14</t>
        </is>
      </c>
      <c r="B18" s="8" t="inlineStr">
        <is>
          <t>Staged config changes</t>
        </is>
      </c>
      <c r="C18" s="8" t="inlineStr">
        <is>
          <t>A way to validate a config.yaml change before it hits the live gateway (even a dry-run diff), so a bad edit doesn't take down the running agent.</t>
        </is>
      </c>
      <c r="D18" s="8" t="inlineStr">
        <is>
          <t>Hermes-VPS</t>
        </is>
      </c>
      <c r="E18" s="8" t="inlineStr">
        <is>
          <t>Not Started</t>
        </is>
      </c>
      <c r="F18" s="8" t="inlineStr"/>
      <c r="G18" s="8" t="n">
        <v>5</v>
      </c>
      <c r="H18" s="8">
        <f>IF(E18="Done",G18,IF(E18="Partial",G18*0.5,0))</f>
        <v/>
      </c>
      <c r="I18" s="8" t="inlineStr">
        <is>
          <t>Hermes Design Specialist</t>
        </is>
      </c>
      <c r="J18" s="8" t="inlineStr"/>
    </row>
    <row r="19">
      <c r="A19" s="8" t="inlineStr">
        <is>
          <t>CR-15</t>
        </is>
      </c>
      <c r="B19" s="8" t="inlineStr">
        <is>
          <t>Sister's Hermes — separate VPS provisioned</t>
        </is>
      </c>
      <c r="C19" s="8" t="inlineStr">
        <is>
          <t>Decided 2026-10-04: full separation, not a restricted-user account on this instance, so memory/context never bleeds between the two. Vultr High Performance AMD, 1 vCPU / 2GB RAM / 50GB NVMe, $12/mo, HermesAgent marketplace image — same pattern as hermes-vps.</t>
        </is>
      </c>
      <c r="D19" s="8" t="inlineStr">
        <is>
          <t>Hermes-VPS</t>
        </is>
      </c>
      <c r="E19" s="8" t="inlineStr">
        <is>
          <t>Not Started</t>
        </is>
      </c>
      <c r="F19" s="8" t="inlineStr">
        <is>
          <t>hermes-sister-separate-agent-2026-10-04</t>
        </is>
      </c>
      <c r="G19" s="8" t="n">
        <v>8</v>
      </c>
      <c r="H19" s="8">
        <f>IF(E19="Done",G19,IF(E19="Partial",G19*0.5,0))</f>
        <v/>
      </c>
      <c r="I19" s="8" t="inlineStr">
        <is>
          <t>Product Owner (Mark)</t>
        </is>
      </c>
      <c r="J19" s="8" t="inlineStr">
        <is>
          <t>A second, independent deployment — not a feature of this Hermes instance</t>
        </is>
      </c>
    </row>
    <row r="20">
      <c r="A20" s="8" t="inlineStr">
        <is>
          <t>CR-16</t>
        </is>
      </c>
      <c r="B20" s="8" t="inlineStr">
        <is>
          <t>Sister's Hermes — local-model access decided</t>
        </is>
      </c>
      <c r="C20" s="8" t="inlineStr">
        <is>
          <t>Open question from the planning conversation: does her instance get access to w_workstation's local model, or stay Codex/cloud-only? One RTX A4000 can't serve two simultaneous agents without one waiting on the other.</t>
        </is>
      </c>
      <c r="D20" s="8" t="inlineStr">
        <is>
          <t>Either / Bridge</t>
        </is>
      </c>
      <c r="E20" s="8" t="inlineStr">
        <is>
          <t>Not Started</t>
        </is>
      </c>
      <c r="F20" s="8" t="inlineStr"/>
      <c r="G20" s="8" t="n">
        <v>3</v>
      </c>
      <c r="H20" s="8">
        <f>IF(E20="Done",G20,IF(E20="Partial",G20*0.5,0))</f>
        <v/>
      </c>
      <c r="I20" s="8" t="inlineStr">
        <is>
          <t>Product Owner (Mark)</t>
        </is>
      </c>
      <c r="J20" s="8" t="inlineStr"/>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c r="A48" s="8" t="n"/>
      <c r="B48" s="8" t="n"/>
      <c r="C48" s="8" t="n"/>
      <c r="D48" s="8" t="n"/>
      <c r="E48" s="8" t="n"/>
      <c r="F48" s="8" t="n"/>
      <c r="G48" s="8" t="n"/>
      <c r="H48" s="8">
        <f>IF(E48="Done",G48,IF(E48="Partial",G48*0.5,0))</f>
        <v/>
      </c>
      <c r="I48" s="8" t="n"/>
      <c r="J48" s="8" t="n"/>
    </row>
    <row r="49">
      <c r="A49" s="8" t="n"/>
      <c r="B49" s="8" t="n"/>
      <c r="C49" s="8" t="n"/>
      <c r="D49" s="8" t="n"/>
      <c r="E49" s="8" t="n"/>
      <c r="F49" s="8" t="n"/>
      <c r="G49" s="8" t="n"/>
      <c r="H49" s="8">
        <f>IF(E49="Done",G49,IF(E49="Partial",G49*0.5,0))</f>
        <v/>
      </c>
      <c r="I49" s="8" t="n"/>
      <c r="J49" s="8" t="n"/>
    </row>
    <row r="50">
      <c r="A50" s="8" t="n"/>
      <c r="B50" s="8" t="n"/>
      <c r="C50" s="8" t="n"/>
      <c r="D50" s="8" t="n"/>
      <c r="E50" s="8" t="n"/>
      <c r="F50" s="8" t="n"/>
      <c r="G50" s="8" t="n"/>
      <c r="H50" s="8">
        <f>IF(E50="Done",G50,IF(E50="Partial",G50*0.5,0))</f>
        <v/>
      </c>
      <c r="I50" s="8" t="n"/>
      <c r="J50" s="8" t="n"/>
    </row>
    <row r="52">
      <c r="B52" s="20" t="inlineStr">
        <is>
          <t>TAB TOTAL (includes blank headroom rows above for future additions)</t>
        </is>
      </c>
      <c r="G52" s="20">
        <f>SUM(G5:G50)</f>
        <v/>
      </c>
      <c r="H52" s="20">
        <f>SUM(H5:H50)</f>
        <v/>
      </c>
      <c r="I52" s="20">
        <f>IFERROR(TEXT(H52/G52,"0%")&amp;" complete","0% complete")</f>
        <v/>
      </c>
    </row>
  </sheetData>
  <mergeCells count="2">
    <mergeCell ref="A1:J1"/>
    <mergeCell ref="A2:J2"/>
  </mergeCells>
  <conditionalFormatting sqref="E5:E5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0E7C7B"/>
    <outlinePr summaryBelow="1" summaryRight="1"/>
    <pageSetUpPr/>
  </sheetPr>
  <dimension ref="A1:J4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Identity &amp; Memory Continuity</t>
        </is>
      </c>
    </row>
    <row r="2" ht="16" customHeight="1">
      <c r="A2" s="2" t="inlineStr">
        <is>
          <t>The thing that makes 'Hermes away from home' the same Hermes as 'at home.'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IM-01</t>
        </is>
      </c>
      <c r="B5" s="8" t="inlineStr">
        <is>
          <t>SOUL.md committed to hermes-vps</t>
        </is>
      </c>
      <c r="C5" s="8" t="inlineStr">
        <is>
          <t>CORRECTION 2026-10-04: an earlier pass here wrongly claimed SOUL.md wasn't real — it is, and it's distinct from MEMORY.md (see IM-09). Lives at ~/.hermes/SOUL.md, 2,200-char cap, defines WHO the agent is — persona, tone, values, boundaries, judgment style. First slot in the system prompt. Auto-created with a generic default if missing; the version drafted in conversation was never actually written to the box.</t>
        </is>
      </c>
      <c r="D5" s="8" t="inlineStr">
        <is>
          <t>Hermes-VPS</t>
        </is>
      </c>
      <c r="E5" s="8" t="inlineStr">
        <is>
          <t>Not Started</t>
        </is>
      </c>
      <c r="F5" s="8" t="inlineStr">
        <is>
          <t>hermes-agent docs: user-guide/features/personality</t>
        </is>
      </c>
      <c r="G5" s="8" t="n">
        <v>10</v>
      </c>
      <c r="H5" s="8">
        <f>IF(E5="Done",G5,IF(E5="Partial",G5*0.5,0))</f>
        <v/>
      </c>
      <c r="I5" s="8" t="inlineStr">
        <is>
          <t>Hermes Design Specialist</t>
        </is>
      </c>
      <c r="J5" s="8" t="inlineStr"/>
    </row>
    <row r="6">
      <c r="A6" s="8" t="inlineStr">
        <is>
          <t>IM-02</t>
        </is>
      </c>
      <c r="B6" s="8" t="inlineStr">
        <is>
          <t>USER.md committed to hermes-vps</t>
        </is>
      </c>
      <c r="C6" s="8" t="inlineStr">
        <is>
          <t>User profile/preferences, 1,375-char cap, distinct from both SOUL.md and MEMORY.md. Same status — drafted, never committed.</t>
        </is>
      </c>
      <c r="D6" s="8" t="inlineStr">
        <is>
          <t>Hermes-VPS</t>
        </is>
      </c>
      <c r="E6" s="8" t="inlineStr">
        <is>
          <t>Not Started</t>
        </is>
      </c>
      <c r="F6" s="8" t="inlineStr">
        <is>
          <t>hermes-vps filesystem</t>
        </is>
      </c>
      <c r="G6" s="8" t="n">
        <v>10</v>
      </c>
      <c r="H6" s="8">
        <f>IF(E6="Done",G6,IF(E6="Partial",G6*0.5,0))</f>
        <v/>
      </c>
      <c r="I6" s="8" t="inlineStr">
        <is>
          <t>Hermes Design Specialist</t>
        </is>
      </c>
      <c r="J6" s="8" t="inlineStr"/>
    </row>
    <row r="7">
      <c r="A7" s="8" t="inlineStr">
        <is>
          <t>IM-03</t>
        </is>
      </c>
      <c r="B7" s="8" t="inlineStr">
        <is>
          <t>Single conversation/session store confirmed</t>
        </is>
      </c>
      <c r="C7" s="8" t="inlineStr">
        <is>
          <t>Unverified whether every interface reads/writes one store or each starts disconnected.</t>
        </is>
      </c>
      <c r="D7" s="8" t="inlineStr">
        <is>
          <t>Hermes-VPS</t>
        </is>
      </c>
      <c r="E7" s="8" t="inlineStr">
        <is>
          <t>Not Started</t>
        </is>
      </c>
      <c r="F7" s="8" t="inlineStr"/>
      <c r="G7" s="8" t="n">
        <v>10</v>
      </c>
      <c r="H7" s="8">
        <f>IF(E7="Done",G7,IF(E7="Partial",G7*0.5,0))</f>
        <v/>
      </c>
      <c r="I7" s="8" t="inlineStr">
        <is>
          <t>Hermes Design Specialist</t>
        </is>
      </c>
      <c r="J7" s="8" t="inlineStr">
        <is>
          <t>Decides whether G6 is even architecturally possible</t>
        </is>
      </c>
    </row>
    <row r="8">
      <c r="A8" s="8" t="inlineStr">
        <is>
          <t>IM-04</t>
        </is>
      </c>
      <c r="B8" s="8" t="inlineStr">
        <is>
          <t>Cross-interface continuity proven</t>
        </is>
      </c>
      <c r="C8" s="8" t="inlineStr">
        <is>
          <t>Web UI, Hermes Desktop, and (eventually) Signal all resume the same memory, not three separate Hermeses.</t>
        </is>
      </c>
      <c r="D8" s="8" t="inlineStr">
        <is>
          <t>Hermes-VPS</t>
        </is>
      </c>
      <c r="E8" s="8" t="inlineStr">
        <is>
          <t>Not Started</t>
        </is>
      </c>
      <c r="F8" s="8" t="inlineStr"/>
      <c r="G8" s="8" t="n">
        <v>10</v>
      </c>
      <c r="H8" s="8">
        <f>IF(E8="Done",G8,IF(E8="Partial",G8*0.5,0))</f>
        <v/>
      </c>
      <c r="I8" s="8" t="inlineStr">
        <is>
          <t>Hermes Design Specialist</t>
        </is>
      </c>
      <c r="J8" s="8" t="inlineStr"/>
    </row>
    <row r="9">
      <c r="A9" s="8" t="inlineStr">
        <is>
          <t>IM-05</t>
        </is>
      </c>
      <c r="B9" s="8" t="inlineStr">
        <is>
          <t>Extended memory provider: Hindsight — locked in</t>
        </is>
      </c>
      <c r="C9" s="8" t="inlineStr">
        <is>
          <t>LOCKED 2026-10-04 after comparing all 8 official Hermes memory plugins (Hindsight, ByteRover, Supermemory, Mem0, Honcho, OpenViking, Holographic, RetainDB) plus Mnemosyne. Hindsight has the best independently-verified benchmark (94.6% LongMemEval, officially reproduced leaderboard result — ByteRover's higher LoCoMo number is vendor-self-reported, not third-party confirmed). Its reflect operation also directly matches the actual requirement: broad scope ('anything is fair game,' Hermes = main AI tool going forward) but genuinely curated ('remembering everything means remembering nothing') — reflect reasons across all stored memories to produce one synthesized answer, not a ranked dump; retain does entity resolution so facts link to canonical people/projects. Local Docker mode, own Postgres, no cloud dependency — could share a database with the migrated catalog/vault (SV-15).</t>
        </is>
      </c>
      <c r="D9" s="8" t="inlineStr">
        <is>
          <t>Hermes-VPS</t>
        </is>
      </c>
      <c r="E9" s="8" t="inlineStr">
        <is>
          <t>Partial</t>
        </is>
      </c>
      <c r="F9" s="8" t="inlineStr">
        <is>
          <t>hermes-memory-provider-locked-hindsight-2026-10-04</t>
        </is>
      </c>
      <c r="G9" s="8" t="n">
        <v>8</v>
      </c>
      <c r="H9" s="8">
        <f>IF(E9="Done",G9,IF(E9="Partial",G9*0.5,0))</f>
        <v/>
      </c>
      <c r="I9" s="8" t="inlineStr">
        <is>
          <t>Hermes Design Specialist</t>
        </is>
      </c>
      <c r="J9" s="8" t="inlineStr">
        <is>
          <t>Decided, not yet deployed. Depends on SV-15 landing first for the shared-database option</t>
        </is>
      </c>
    </row>
    <row r="10">
      <c r="A10" s="8" t="inlineStr">
        <is>
          <t>IM-06</t>
        </is>
      </c>
      <c r="B10" s="8" t="inlineStr">
        <is>
          <t>Hermes runtime-memory backup</t>
        </is>
      </c>
      <c r="C10" s="8" t="inlineStr">
        <is>
          <t>Parallel to export_catalog_memory.py, but for whatever Hermes itself remembers once IM-03 exists.</t>
        </is>
      </c>
      <c r="D10" s="8" t="inlineStr">
        <is>
          <t>Hermes-VPS</t>
        </is>
      </c>
      <c r="E10" s="8" t="inlineStr">
        <is>
          <t>Not Started</t>
        </is>
      </c>
      <c r="F10" s="8" t="inlineStr"/>
      <c r="G10" s="8" t="n">
        <v>5</v>
      </c>
      <c r="H10" s="8">
        <f>IF(E10="Done",G10,IF(E10="Partial",G10*0.5,0))</f>
        <v/>
      </c>
      <c r="I10" s="8" t="inlineStr">
        <is>
          <t>Platform/SRE</t>
        </is>
      </c>
      <c r="J10" s="8" t="inlineStr"/>
    </row>
    <row r="11">
      <c r="A11" s="8" t="inlineStr">
        <is>
          <t>IM-07</t>
        </is>
      </c>
      <c r="B11" s="8" t="inlineStr">
        <is>
          <t>Memory retention/privacy policy</t>
        </is>
      </c>
      <c r="C11" s="8" t="inlineStr">
        <is>
          <t>The built-in system already has a real policy, found 2026-10-04: facts/corrections persisted aggressively, preferences/skills only once they prove themselves, nothing sensitive ever. Capture is agent-judged, not automatic — periodic self-prompts ask 'should I persist this?' (solves humans forgetting to flag what matters). Still undefined: what the SAME policy should be for an extended provider (IM-05) once it exists, which has no built-in character cap forcing curation the way MEMORY.md's 2,200-char limit does.</t>
        </is>
      </c>
      <c r="D11" s="8" t="inlineStr">
        <is>
          <t>N/A (process/doc)</t>
        </is>
      </c>
      <c r="E11" s="8" t="inlineStr">
        <is>
          <t>Partial</t>
        </is>
      </c>
      <c r="F11" s="8" t="inlineStr">
        <is>
          <t>hermes-agent docs: persistent memory</t>
        </is>
      </c>
      <c r="G11" s="8" t="n">
        <v>3</v>
      </c>
      <c r="H11" s="8">
        <f>IF(E11="Done",G11,IF(E11="Partial",G11*0.5,0))</f>
        <v/>
      </c>
      <c r="I11" s="8" t="inlineStr">
        <is>
          <t>Hermes Design Specialist</t>
        </is>
      </c>
      <c r="J11" s="8" t="inlineStr"/>
    </row>
    <row r="12">
      <c r="A12" s="8" t="inlineStr">
        <is>
          <t>IM-08</t>
        </is>
      </c>
      <c r="B12" s="8" t="inlineStr">
        <is>
          <t>Identity consistency test</t>
        </is>
      </c>
      <c r="C12" s="8" t="inlineStr">
        <is>
          <t>Ask 'who are you' from two different interfaces/locations, confirm identical answer, as an actual verification step not an assumption.</t>
        </is>
      </c>
      <c r="D12" s="8" t="inlineStr">
        <is>
          <t>N/A (process/doc)</t>
        </is>
      </c>
      <c r="E12" s="8" t="inlineStr">
        <is>
          <t>Not Started</t>
        </is>
      </c>
      <c r="F12" s="8" t="inlineStr"/>
      <c r="G12" s="8" t="n">
        <v>5</v>
      </c>
      <c r="H12" s="8">
        <f>IF(E12="Done",G12,IF(E12="Partial",G12*0.5,0))</f>
        <v/>
      </c>
      <c r="I12" s="8" t="inlineStr">
        <is>
          <t>Hermes Design Specialist</t>
        </is>
      </c>
      <c r="J12" s="8" t="inlineStr"/>
    </row>
    <row r="13">
      <c r="A13" s="8" t="inlineStr">
        <is>
          <t>IM-09</t>
        </is>
      </c>
      <c r="B13" s="8" t="inlineStr">
        <is>
          <t>MEMORY.md committed to hermes-vps</t>
        </is>
      </c>
      <c r="C13" s="8" t="inlineStr">
        <is>
          <t>Distinct from SOUL.md (IM-01): MEMORY.md holds WHAT the agent has learned — environment facts, conventions, discovered workarounds — not who it is. Same 2,200-char cap; on overflow the agent must consolidate/remove entries before adding more (some nuance gets lost in that process). Human-prunable by hand-editing the file directly; hermes memory compress --older-than 30d also exists for session-level compression.</t>
        </is>
      </c>
      <c r="D13" s="8" t="inlineStr">
        <is>
          <t>Hermes-VPS</t>
        </is>
      </c>
      <c r="E13" s="8" t="inlineStr">
        <is>
          <t>Not Started</t>
        </is>
      </c>
      <c r="F13" s="8" t="inlineStr">
        <is>
          <t>hermes-agent docs: persistent memory</t>
        </is>
      </c>
      <c r="G13" s="8" t="n">
        <v>8</v>
      </c>
      <c r="H13" s="8">
        <f>IF(E13="Done",G13,IF(E13="Partial",G13*0.5,0))</f>
        <v/>
      </c>
      <c r="I13" s="8" t="inlineStr">
        <is>
          <t>Hermes Design Specialist</t>
        </is>
      </c>
      <c r="J13" s="8" t="inlineStr"/>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5">
      <c r="B45" s="20" t="inlineStr">
        <is>
          <t>TAB TOTAL (includes blank headroom rows above for future additions)</t>
        </is>
      </c>
      <c r="G45" s="20">
        <f>SUM(G5:G43)</f>
        <v/>
      </c>
      <c r="H45" s="20">
        <f>SUM(H5:H43)</f>
        <v/>
      </c>
      <c r="I45" s="20">
        <f>IFERROR(TEXT(H45/G45,"0%")&amp;" complete","0% complete")</f>
        <v/>
      </c>
    </row>
  </sheetData>
  <mergeCells count="2">
    <mergeCell ref="A1:J1"/>
    <mergeCell ref="A2:J2"/>
  </mergeCells>
  <conditionalFormatting sqref="E5:E43">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Model, Provider &amp; Resilience</t>
        </is>
      </c>
    </row>
    <row r="2" ht="16" customHeight="1">
      <c r="A2" s="2" t="inlineStr">
        <is>
          <t>Codex must be a COMPLETE Hermes on its own — local inference is an accelerant, never a dependency.</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MR-01</t>
        </is>
      </c>
      <c r="B5" s="8" t="inlineStr">
        <is>
          <t>Codex linked via native link+code flow</t>
        </is>
      </c>
      <c r="C5" s="8" t="inlineStr">
        <is>
          <t>openai-codex / gpt-5.6-sol, via existing ChatGPT Plus — confirmed working for a real coding task.</t>
        </is>
      </c>
      <c r="D5" s="8" t="inlineStr">
        <is>
          <t>Hermes-VPS</t>
        </is>
      </c>
      <c r="E5" s="8" t="inlineStr">
        <is>
          <t>Done</t>
        </is>
      </c>
      <c r="F5" s="8" t="inlineStr">
        <is>
          <t>hermes-vps config.yaml providers</t>
        </is>
      </c>
      <c r="G5" s="8" t="n">
        <v>8</v>
      </c>
      <c r="H5" s="8">
        <f>IF(E5="Done",G5,IF(E5="Partial",G5*0.5,0))</f>
        <v/>
      </c>
      <c r="I5" s="8" t="inlineStr">
        <is>
          <t>Model/Routing Engineer</t>
        </is>
      </c>
      <c r="J5" s="8" t="inlineStr"/>
    </row>
    <row r="6">
      <c r="A6" s="8" t="inlineStr">
        <is>
          <t>MR-02</t>
        </is>
      </c>
      <c r="B6" s="8" t="inlineStr">
        <is>
          <t>Judge-based local-vs-escalate routing live</t>
        </is>
      </c>
      <c r="C6" s="8" t="inlineStr">
        <is>
          <t>complexity_router.py replaced keyword heuristics with an LLM-as-judge call.</t>
        </is>
      </c>
      <c r="D6" s="8" t="inlineStr">
        <is>
          <t>Hermes-VPS</t>
        </is>
      </c>
      <c r="E6" s="8" t="inlineStr">
        <is>
          <t>Done</t>
        </is>
      </c>
      <c r="F6" s="8" t="inlineStr">
        <is>
          <t>complexity-router.service, 127.0.0.1:11500</t>
        </is>
      </c>
      <c r="G6" s="8" t="n">
        <v>10</v>
      </c>
      <c r="H6" s="8">
        <f>IF(E6="Done",G6,IF(E6="Partial",G6*0.5,0))</f>
        <v/>
      </c>
      <c r="I6" s="8" t="inlineStr">
        <is>
          <t>Model/Routing Engineer</t>
        </is>
      </c>
      <c r="J6" s="8" t="inlineStr"/>
    </row>
    <row r="7">
      <c r="A7" s="8" t="inlineStr">
        <is>
          <t>MR-03</t>
        </is>
      </c>
      <c r="B7" s="8" t="inlineStr">
        <is>
          <t>Hard gates: vision + bounded-task bypass</t>
        </is>
      </c>
      <c r="C7" s="8" t="inlineStr">
        <is>
          <t>has_image() forces local (Codex rejects image_url with HTTP 400); max_tokens&lt;=32 bypasses the judge entirely for Smart Approvals.</t>
        </is>
      </c>
      <c r="D7" s="8" t="inlineStr">
        <is>
          <t>Hermes-VPS</t>
        </is>
      </c>
      <c r="E7" s="8" t="inlineStr">
        <is>
          <t>Done</t>
        </is>
      </c>
      <c r="F7" s="8" t="inlineStr">
        <is>
          <t>scripts/complexity_router.py</t>
        </is>
      </c>
      <c r="G7" s="8" t="n">
        <v>8</v>
      </c>
      <c r="H7" s="8">
        <f>IF(E7="Done",G7,IF(E7="Partial",G7*0.5,0))</f>
        <v/>
      </c>
      <c r="I7" s="8" t="inlineStr">
        <is>
          <t>Model/Routing Engineer</t>
        </is>
      </c>
      <c r="J7" s="8" t="inlineStr"/>
    </row>
    <row r="8">
      <c r="A8" s="8" t="inlineStr">
        <is>
          <t>MR-04</t>
        </is>
      </c>
      <c r="B8" s="8" t="inlineStr">
        <is>
          <t>fallback_model escalation verified live</t>
        </is>
      </c>
      <c r="C8" s="8" t="inlineStr">
        <is>
          <t>503 from the router correctly triggers Hermes's native fallback_model retry onto Codex.</t>
        </is>
      </c>
      <c r="D8" s="8" t="inlineStr">
        <is>
          <t>Hermes-VPS</t>
        </is>
      </c>
      <c r="E8" s="8" t="inlineStr">
        <is>
          <t>Done</t>
        </is>
      </c>
      <c r="F8" s="8" t="inlineStr">
        <is>
          <t>hermes-vps logs, 2026-09-27 verification</t>
        </is>
      </c>
      <c r="G8" s="8" t="n">
        <v>8</v>
      </c>
      <c r="H8" s="8">
        <f>IF(E8="Done",G8,IF(E8="Partial",G8*0.5,0))</f>
        <v/>
      </c>
      <c r="I8" s="8" t="inlineStr">
        <is>
          <t>Model/Routing Engineer</t>
        </is>
      </c>
      <c r="J8" s="8" t="inlineStr"/>
    </row>
    <row r="9">
      <c r="A9" s="8" t="inlineStr">
        <is>
          <t>MR-05</t>
        </is>
      </c>
      <c r="B9" s="8" t="inlineStr">
        <is>
          <t>WireGuard-down fire drill (model only)</t>
        </is>
      </c>
      <c r="C9" s="8" t="inlineStr">
        <is>
          <t>Nobody has pulled the tunnel mid-conversation and confirmed Hermes still answers via Codex automatically. 'Fails open to local' on a judge timeout is not proven to hold when the underlying connection itself is down. Scoped to the model/routing path only — see 05_Secrets_Vault SV-14 for the matching gap in catalog/vault reachability.</t>
        </is>
      </c>
      <c r="D9" s="8" t="inlineStr">
        <is>
          <t>Hermes-VPS</t>
        </is>
      </c>
      <c r="E9" s="8" t="inlineStr">
        <is>
          <t>Not Started</t>
        </is>
      </c>
      <c r="F9" s="8" t="inlineStr"/>
      <c r="G9" s="8" t="n">
        <v>15</v>
      </c>
      <c r="H9" s="8">
        <f>IF(E9="Done",G9,IF(E9="Partial",G9*0.5,0))</f>
        <v/>
      </c>
      <c r="I9" s="8" t="inlineStr">
        <is>
          <t>Model/Routing Engineer</t>
        </is>
      </c>
      <c r="J9" s="8" t="inlineStr">
        <is>
          <t>This is the exact guarantee the user is building toward</t>
        </is>
      </c>
    </row>
    <row r="10">
      <c r="A10" s="8" t="inlineStr">
        <is>
          <t>MR-06</t>
        </is>
      </c>
      <c r="B10" s="8" t="inlineStr">
        <is>
          <t>Health check / circuit breaker on local provider</t>
        </is>
      </c>
      <c r="C10" s="8" t="inlineStr">
        <is>
          <t>Proactively mark local down instead of relying on per-request timeout-and-retry.</t>
        </is>
      </c>
      <c r="D10" s="8" t="inlineStr">
        <is>
          <t>Hermes-VPS</t>
        </is>
      </c>
      <c r="E10" s="8" t="inlineStr">
        <is>
          <t>Not Started</t>
        </is>
      </c>
      <c r="F10" s="8" t="inlineStr"/>
      <c r="G10" s="8" t="n">
        <v>10</v>
      </c>
      <c r="H10" s="8">
        <f>IF(E10="Done",G10,IF(E10="Partial",G10*0.5,0))</f>
        <v/>
      </c>
      <c r="I10" s="8" t="inlineStr">
        <is>
          <t>Model/Routing Engineer</t>
        </is>
      </c>
      <c r="J10" s="8" t="inlineStr"/>
    </row>
    <row r="11">
      <c r="A11" s="8" t="inlineStr">
        <is>
          <t>MR-07</t>
        </is>
      </c>
      <c r="B11" s="8" t="inlineStr">
        <is>
          <t>Per-turn backend indicator</t>
        </is>
      </c>
      <c r="C11" s="8" t="inlineStr">
        <is>
          <t>Surface/log which backend (local vs Codex) actually answered each turn.</t>
        </is>
      </c>
      <c r="D11" s="8" t="inlineStr">
        <is>
          <t>Hermes-VPS</t>
        </is>
      </c>
      <c r="E11" s="8" t="inlineStr">
        <is>
          <t>Not Started</t>
        </is>
      </c>
      <c r="F11" s="8" t="inlineStr"/>
      <c r="G11" s="8" t="n">
        <v>5</v>
      </c>
      <c r="H11" s="8">
        <f>IF(E11="Done",G11,IF(E11="Partial",G11*0.5,0))</f>
        <v/>
      </c>
      <c r="I11" s="8" t="inlineStr">
        <is>
          <t>Observability</t>
        </is>
      </c>
      <c r="J11" s="8" t="inlineStr"/>
    </row>
    <row r="12">
      <c r="A12" s="8" t="inlineStr">
        <is>
          <t>MR-08</t>
        </is>
      </c>
      <c r="B12" s="8" t="inlineStr">
        <is>
          <t>Local runtime/model finalized</t>
        </is>
      </c>
      <c r="C12" s="8" t="inlineStr">
        <is>
          <t>See 07_Local_Inference — this row just tracks the routing-layer consequence of that decision.</t>
        </is>
      </c>
      <c r="D12" s="8" t="inlineStr">
        <is>
          <t>Home-Network</t>
        </is>
      </c>
      <c r="E12" s="8" t="inlineStr">
        <is>
          <t>Not Started</t>
        </is>
      </c>
      <c r="F12" s="8" t="inlineStr"/>
      <c r="G12" s="8" t="n">
        <v>5</v>
      </c>
      <c r="H12" s="8">
        <f>IF(E12="Done",G12,IF(E12="Partial",G12*0.5,0))</f>
        <v/>
      </c>
      <c r="I12" s="8" t="inlineStr">
        <is>
          <t>Model/Routing Engineer</t>
        </is>
      </c>
      <c r="J12" s="8" t="inlineStr"/>
    </row>
    <row r="13">
      <c r="A13" s="8" t="inlineStr">
        <is>
          <t>MR-09</t>
        </is>
      </c>
      <c r="B13" s="8" t="inlineStr">
        <is>
          <t>G8 criterion re-verified on new runtime</t>
        </is>
      </c>
      <c r="C13" s="8" t="inlineStr">
        <is>
          <t>Old proof (Ollama) will be stale the moment the runtime changes — must re-run 'one stays local, one escalates, both observed' after cutover.</t>
        </is>
      </c>
      <c r="D13" s="8" t="inlineStr">
        <is>
          <t>Either / Bridge</t>
        </is>
      </c>
      <c r="E13" s="8" t="inlineStr">
        <is>
          <t>Not Started</t>
        </is>
      </c>
      <c r="F13" s="8" t="inlineStr"/>
      <c r="G13" s="8" t="n">
        <v>8</v>
      </c>
      <c r="H13" s="8">
        <f>IF(E13="Done",G13,IF(E13="Partial",G13*0.5,0))</f>
        <v/>
      </c>
      <c r="I13" s="8" t="inlineStr">
        <is>
          <t>Model/Routing Engineer</t>
        </is>
      </c>
      <c r="J13" s="8" t="inlineStr"/>
    </row>
    <row r="14">
      <c r="A14" s="8" t="inlineStr">
        <is>
          <t>MR-10</t>
        </is>
      </c>
      <c r="B14" s="8" t="inlineStr">
        <is>
          <t>Codex spend ceiling / circuit breaker</t>
        </is>
      </c>
      <c r="C14" s="8" t="inlineStr">
        <is>
          <t>No cap or alert exists if Codex usage spikes — relevant once it's the sole fallback.</t>
        </is>
      </c>
      <c r="D14" s="8" t="inlineStr">
        <is>
          <t>Hermes-VPS</t>
        </is>
      </c>
      <c r="E14" s="8" t="inlineStr">
        <is>
          <t>Not Started</t>
        </is>
      </c>
      <c r="F14" s="8" t="inlineStr"/>
      <c r="G14" s="8" t="n">
        <v>5</v>
      </c>
      <c r="H14" s="8">
        <f>IF(E14="Done",G14,IF(E14="Partial",G14*0.5,0))</f>
        <v/>
      </c>
      <c r="I14" s="8" t="inlineStr">
        <is>
          <t>Product Owner (Mark)</t>
        </is>
      </c>
      <c r="J14" s="8" t="inlineStr"/>
    </row>
    <row r="15">
      <c r="A15" s="8" t="inlineStr">
        <is>
          <t>MR-11</t>
        </is>
      </c>
      <c r="B15" s="8" t="inlineStr">
        <is>
          <t>Retry/backoff policy documented</t>
        </is>
      </c>
      <c r="C15" s="8" t="inlineStr">
        <is>
          <t>Transient local error vs. hard failure should not be handled identically.</t>
        </is>
      </c>
      <c r="D15" s="8" t="inlineStr">
        <is>
          <t>Hermes-VPS</t>
        </is>
      </c>
      <c r="E15" s="8" t="inlineStr">
        <is>
          <t>Not Started</t>
        </is>
      </c>
      <c r="F15" s="8" t="inlineStr"/>
      <c r="G15" s="8" t="n">
        <v>3</v>
      </c>
      <c r="H15" s="8">
        <f>IF(E15="Done",G15,IF(E15="Partial",G15*0.5,0))</f>
        <v/>
      </c>
      <c r="I15" s="8" t="inlineStr">
        <is>
          <t>Model/Routing Engineer</t>
        </is>
      </c>
      <c r="J15" s="8" t="inlineStr"/>
    </row>
    <row r="16">
      <c r="A16" s="8" t="inlineStr">
        <is>
          <t>MR-12</t>
        </is>
      </c>
      <c r="B16" s="8" t="inlineStr">
        <is>
          <t>Routing-decision log retention policy</t>
        </is>
      </c>
      <c r="C16" s="8" t="inlineStr">
        <is>
          <t>complexity_router.log exists and records every verdict, but nothing rotates or retains it deliberately.</t>
        </is>
      </c>
      <c r="D16" s="8" t="inlineStr">
        <is>
          <t>Hermes-VPS</t>
        </is>
      </c>
      <c r="E16" s="8" t="inlineStr">
        <is>
          <t>Partial</t>
        </is>
      </c>
      <c r="F16" s="8" t="inlineStr">
        <is>
          <t>/home/hermes/.hermes/logs/complexity_router.log</t>
        </is>
      </c>
      <c r="G16" s="8" t="n">
        <v>3</v>
      </c>
      <c r="H16" s="8">
        <f>IF(E16="Done",G16,IF(E16="Partial",G16*0.5,0))</f>
        <v/>
      </c>
      <c r="I16" s="8" t="inlineStr">
        <is>
          <t>Observability</t>
        </is>
      </c>
      <c r="J16" s="8" t="inlineStr"/>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0E7C7B"/>
    <outlinePr summaryBelow="1" summaryRight="1"/>
    <pageSetUpPr/>
  </sheetPr>
  <dimension ref="A1:J4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Tool / MCP Capability Layer</t>
        </is>
      </c>
    </row>
    <row r="2" ht="16" customHeight="1">
      <c r="A2" s="2" t="inlineStr">
        <is>
          <t>Every network resource as an agent capability — and ONE deployment per capability, not one per environment.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TM-01</t>
        </is>
      </c>
      <c r="B5" s="8" t="inlineStr">
        <is>
          <t>catalog_mcp.py — VPS-only</t>
        </is>
      </c>
      <c r="C5" s="8" t="inlineStr">
        <is>
          <t>6 tools (get_entities, get_hosts, get_services, add_entity, add_relation, graph_recall), isolated venv, verified live.</t>
        </is>
      </c>
      <c r="D5" s="8" t="inlineStr">
        <is>
          <t>Hermes-VPS</t>
        </is>
      </c>
      <c r="E5" s="8" t="inlineStr">
        <is>
          <t>Done</t>
        </is>
      </c>
      <c r="F5" s="8" t="inlineStr">
        <is>
          <t>/home/hermes/.hermes/mcp_servers/catalog/</t>
        </is>
      </c>
      <c r="G5" s="8" t="n">
        <v>8</v>
      </c>
      <c r="H5" s="8">
        <f>IF(E5="Done",G5,IF(E5="Partial",G5*0.5,0))</f>
        <v/>
      </c>
      <c r="I5" s="8" t="inlineStr">
        <is>
          <t>Platform/SRE</t>
        </is>
      </c>
      <c r="J5" s="8" t="inlineStr"/>
    </row>
    <row r="6">
      <c r="A6" s="8" t="inlineStr">
        <is>
          <t>TM-02</t>
        </is>
      </c>
      <c r="B6" s="8" t="inlineStr">
        <is>
          <t>search_mcp.py — VPS-only, web_search reliable</t>
        </is>
      </c>
      <c r="C6" s="8" t="inlineStr">
        <is>
          <t>Brave API-backed, verified via real hermes -z call.</t>
        </is>
      </c>
      <c r="D6" s="8" t="inlineStr">
        <is>
          <t>Hermes-VPS</t>
        </is>
      </c>
      <c r="E6" s="8" t="inlineStr">
        <is>
          <t>Done</t>
        </is>
      </c>
      <c r="F6" s="8" t="inlineStr">
        <is>
          <t>/home/hermes/.hermes/mcp_servers/search/</t>
        </is>
      </c>
      <c r="G6" s="8" t="n">
        <v>8</v>
      </c>
      <c r="H6" s="8">
        <f>IF(E6="Done",G6,IF(E6="Partial",G6*0.5,0))</f>
        <v/>
      </c>
      <c r="I6" s="8" t="inlineStr">
        <is>
          <t>Platform/SRE</t>
        </is>
      </c>
      <c r="J6" s="8" t="inlineStr"/>
    </row>
    <row r="7">
      <c r="A7" s="8" t="inlineStr">
        <is>
          <t>TM-03</t>
        </is>
      </c>
      <c r="B7" s="8" t="inlineStr">
        <is>
          <t>fetch_page tool-recognition fixed</t>
        </is>
      </c>
      <c r="C7" s="8" t="inlineStr">
        <is>
          <t>Model inconsistently recognizes the tool exists across invocation modes (chat -q vs -z --cli) — root cause not isolated yet.</t>
        </is>
      </c>
      <c r="D7" s="8" t="inlineStr">
        <is>
          <t>Hermes-VPS</t>
        </is>
      </c>
      <c r="E7" s="8" t="inlineStr">
        <is>
          <t>Not Started</t>
        </is>
      </c>
      <c r="F7" s="8" t="inlineStr">
        <is>
          <t>scripts/search_mcp.py — open bug</t>
        </is>
      </c>
      <c r="G7" s="8" t="n">
        <v>5</v>
      </c>
      <c r="H7" s="8">
        <f>IF(E7="Done",G7,IF(E7="Partial",G7*0.5,0))</f>
        <v/>
      </c>
      <c r="I7" s="8" t="inlineStr">
        <is>
          <t>Model/Routing Engineer</t>
        </is>
      </c>
      <c r="J7" s="8" t="inlineStr"/>
    </row>
    <row r="8">
      <c r="A8" s="8" t="inlineStr">
        <is>
          <t>TM-04</t>
        </is>
      </c>
      <c r="B8" s="8" t="inlineStr">
        <is>
          <t>infra_mcp.py — Salt wrapping</t>
        </is>
      </c>
      <c r="C8" s="8" t="inlineStr">
        <is>
          <t>salt_run / salt_minion_status, auto-refreshing auth token, scoped eauth user.</t>
        </is>
      </c>
      <c r="D8" s="8" t="inlineStr">
        <is>
          <t>Hermes-VPS</t>
        </is>
      </c>
      <c r="E8" s="8" t="inlineStr">
        <is>
          <t>Done</t>
        </is>
      </c>
      <c r="F8" s="8" t="inlineStr">
        <is>
          <t>hermes-vps config.yaml mcp_servers.infra</t>
        </is>
      </c>
      <c r="G8" s="8" t="n">
        <v>8</v>
      </c>
      <c r="H8" s="8">
        <f>IF(E8="Done",G8,IF(E8="Partial",G8*0.5,0))</f>
        <v/>
      </c>
      <c r="I8" s="8" t="inlineStr">
        <is>
          <t>Home-Network Liaison</t>
        </is>
      </c>
      <c r="J8" s="8" t="inlineStr"/>
    </row>
    <row r="9">
      <c r="A9" s="8" t="inlineStr">
        <is>
          <t>TM-05</t>
        </is>
      </c>
      <c r="B9" s="8" t="inlineStr">
        <is>
          <t>infra_mcp.py — MeshCentral + Beszel wrapping</t>
        </is>
      </c>
      <c r="C9" s="8" t="inlineStr">
        <is>
          <t>Original goal was a unified Salt+MeshCentral+Beszel surface; only Salt got built.</t>
        </is>
      </c>
      <c r="D9" s="8" t="inlineStr">
        <is>
          <t>Hermes-VPS</t>
        </is>
      </c>
      <c r="E9" s="8" t="inlineStr">
        <is>
          <t>Not Started</t>
        </is>
      </c>
      <c r="F9" s="8" t="inlineStr">
        <is>
          <t>scripts/infra_mcp.py</t>
        </is>
      </c>
      <c r="G9" s="8" t="n">
        <v>8</v>
      </c>
      <c r="H9" s="8">
        <f>IF(E9="Done",G9,IF(E9="Partial",G9*0.5,0))</f>
        <v/>
      </c>
      <c r="I9" s="8" t="inlineStr">
        <is>
          <t>Home-Network Liaison</t>
        </is>
      </c>
      <c r="J9" s="8" t="inlineStr"/>
    </row>
    <row r="10">
      <c r="A10" s="8" t="inlineStr">
        <is>
          <t>TM-06</t>
        </is>
      </c>
      <c r="B10" s="8" t="inlineStr">
        <is>
          <t>vault_mcp.py consolidated to ONE deployment</t>
        </is>
      </c>
      <c r="C10" s="8" t="inlineStr">
        <is>
          <t>Currently 4 independent copies/venvs: hermes-vps, laptop Claude Code .mcp.json, laptop Codex config.toml, and a project-scoped .codex/config.toml. Same tool, four things to keep in sync by hand. Scored under 05_Secrets_Vault SV-12 — this row is the tooling-side cross-reference, not separately weighted.</t>
        </is>
      </c>
      <c r="D10" s="8" t="inlineStr">
        <is>
          <t>Hermes-VPS</t>
        </is>
      </c>
      <c r="E10" s="8" t="inlineStr">
        <is>
          <t>Not Started</t>
        </is>
      </c>
      <c r="F10" s="8" t="inlineStr">
        <is>
          <t>4x — scored at SV-12</t>
        </is>
      </c>
      <c r="G10" s="8" t="n">
        <v>0</v>
      </c>
      <c r="H10" s="8">
        <f>IF(E10="Done",G10,IF(E10="Partial",G10*0.5,0))</f>
        <v/>
      </c>
      <c r="I10" s="8" t="inlineStr">
        <is>
          <t>Hermes Design Specialist</t>
        </is>
      </c>
      <c r="J10" s="8" t="inlineStr">
        <is>
          <t>Decide: single VPS-only server all clients call remotely, or explicitly-temporary local copies with a documented sunset</t>
        </is>
      </c>
    </row>
    <row r="11">
      <c r="A11" s="8" t="inlineStr">
        <is>
          <t>TM-07</t>
        </is>
      </c>
      <c r="B11" s="8" t="inlineStr">
        <is>
          <t>Nous native Tool Gateway configured</t>
        </is>
      </c>
      <c r="C11" s="8" t="inlineStr">
        <is>
          <t>web search / image gen / TTS / browser automation / 5 sandboxed exec backends ship with hermes-agent — never confirmed actually credentialed vs. just theoretically available.</t>
        </is>
      </c>
      <c r="D11" s="8" t="inlineStr">
        <is>
          <t>Hermes-VPS</t>
        </is>
      </c>
      <c r="E11" s="8" t="inlineStr">
        <is>
          <t>Not Started</t>
        </is>
      </c>
      <c r="F11" s="8" t="inlineStr"/>
      <c r="G11" s="8" t="n">
        <v>8</v>
      </c>
      <c r="H11" s="8">
        <f>IF(E11="Done",G11,IF(E11="Partial",G11*0.5,0))</f>
        <v/>
      </c>
      <c r="I11" s="8" t="inlineStr">
        <is>
          <t>Platform/SRE</t>
        </is>
      </c>
      <c r="J11" s="8" t="inlineStr"/>
    </row>
    <row r="12">
      <c r="A12" s="8" t="inlineStr">
        <is>
          <t>TM-08</t>
        </is>
      </c>
      <c r="B12" s="8" t="inlineStr">
        <is>
          <t>Remote-desktop capability fully enrolled</t>
        </is>
      </c>
      <c r="C12" s="8" t="inlineStr">
        <is>
          <t>MeshCentral (had zero devices connected since July) was replaced by Apache Guacamole 2026-10-01 — RDP/SSH native, no agents needed. w_workstation proven end-to-end; other hosts not yet confirmed through it.</t>
        </is>
      </c>
      <c r="D12" s="8" t="inlineStr">
        <is>
          <t>Home-Network</t>
        </is>
      </c>
      <c r="E12" s="8" t="inlineStr">
        <is>
          <t>Partial</t>
        </is>
      </c>
      <c r="F12" s="8" t="inlineStr">
        <is>
          <t>guacamole-deployed-fileserver-2026-10-01</t>
        </is>
      </c>
      <c r="G12" s="8" t="n">
        <v>5</v>
      </c>
      <c r="H12" s="8">
        <f>IF(E12="Done",G12,IF(E12="Partial",G12*0.5,0))</f>
        <v/>
      </c>
      <c r="I12" s="8" t="inlineStr">
        <is>
          <t>Home-Network Liaison</t>
        </is>
      </c>
      <c r="J12" s="8" t="inlineStr"/>
    </row>
    <row r="13">
      <c r="A13" s="8" t="inlineStr">
        <is>
          <t>TM-09</t>
        </is>
      </c>
      <c r="B13" s="8" t="inlineStr">
        <is>
          <t>Unified admin surface for mixed local ecosystem</t>
        </is>
      </c>
      <c r="C13" s="8" t="inlineStr">
        <is>
          <t>Open user ask (2026-09-30): broader than Salt alone, MCP-accessible.</t>
        </is>
      </c>
      <c r="D13" s="8" t="inlineStr">
        <is>
          <t>Home-Network</t>
        </is>
      </c>
      <c r="E13" s="8" t="inlineStr">
        <is>
          <t>Not Started</t>
        </is>
      </c>
      <c r="F13" s="8" t="inlineStr"/>
      <c r="G13" s="8" t="n">
        <v>8</v>
      </c>
      <c r="H13" s="8">
        <f>IF(E13="Done",G13,IF(E13="Partial",G13*0.5,0))</f>
        <v/>
      </c>
      <c r="I13" s="8" t="inlineStr">
        <is>
          <t>Home-Network Liaison</t>
        </is>
      </c>
      <c r="J13" s="8" t="inlineStr"/>
    </row>
    <row r="14">
      <c r="A14" s="8" t="inlineStr">
        <is>
          <t>TM-10</t>
        </is>
      </c>
      <c r="B14" s="8" t="inlineStr">
        <is>
          <t>Playbook: promote a home capability to a Hermes tool</t>
        </is>
      </c>
      <c r="C14" s="8" t="inlineStr">
        <is>
          <t>A repeatable, documented process — not ad hoc each time.</t>
        </is>
      </c>
      <c r="D14" s="8" t="inlineStr">
        <is>
          <t>N/A (process/doc)</t>
        </is>
      </c>
      <c r="E14" s="8" t="inlineStr">
        <is>
          <t>Not Started</t>
        </is>
      </c>
      <c r="F14" s="8" t="inlineStr"/>
      <c r="G14" s="8" t="n">
        <v>5</v>
      </c>
      <c r="H14" s="8">
        <f>IF(E14="Done",G14,IF(E14="Partial",G14*0.5,0))</f>
        <v/>
      </c>
      <c r="I14" s="8" t="inlineStr">
        <is>
          <t>Hermes Design Specialist</t>
        </is>
      </c>
      <c r="J14" s="8" t="inlineStr"/>
    </row>
    <row r="15">
      <c r="A15" s="8" t="inlineStr">
        <is>
          <t>TM-11</t>
        </is>
      </c>
      <c r="B15" s="8" t="inlineStr">
        <is>
          <t>Least-privilege review across all MCP credentials</t>
        </is>
      </c>
      <c r="C15" s="8" t="inlineStr">
        <is>
          <t>salt-hermes-infra is properly scoped (no wheel/runner); others not reviewed the same way.</t>
        </is>
      </c>
      <c r="D15" s="8" t="inlineStr">
        <is>
          <t>Either / Bridge</t>
        </is>
      </c>
      <c r="E15" s="8" t="inlineStr">
        <is>
          <t>Partial</t>
        </is>
      </c>
      <c r="F15" s="8" t="inlineStr"/>
      <c r="G15" s="8" t="n">
        <v>5</v>
      </c>
      <c r="H15" s="8">
        <f>IF(E15="Done",G15,IF(E15="Partial",G15*0.5,0))</f>
        <v/>
      </c>
      <c r="I15" s="8" t="inlineStr">
        <is>
          <t>Security Reviewer</t>
        </is>
      </c>
      <c r="J15" s="8" t="inlineStr"/>
    </row>
    <row r="16">
      <c r="A16" s="8" t="inlineStr">
        <is>
          <t>TM-12</t>
        </is>
      </c>
      <c r="B16" s="8" t="inlineStr">
        <is>
          <t>MCP server dependency/version pinning</t>
        </is>
      </c>
      <c r="C16" s="8" t="inlineStr">
        <is>
          <t>FastMCP version and venv contents should be reproducible, not whatever was latest at deploy time.</t>
        </is>
      </c>
      <c r="D16" s="8" t="inlineStr">
        <is>
          <t>Hermes-VPS</t>
        </is>
      </c>
      <c r="E16" s="8" t="inlineStr">
        <is>
          <t>Not Started</t>
        </is>
      </c>
      <c r="F16" s="8" t="inlineStr"/>
      <c r="G16" s="8" t="n">
        <v>3</v>
      </c>
      <c r="H16" s="8">
        <f>IF(E16="Done",G16,IF(E16="Partial",G16*0.5,0))</f>
        <v/>
      </c>
      <c r="I16" s="8" t="inlineStr">
        <is>
          <t>Platform/SRE</t>
        </is>
      </c>
      <c r="J16" s="8" t="inlineStr"/>
    </row>
    <row r="17">
      <c r="A17" s="8" t="inlineStr">
        <is>
          <t>TM-13</t>
        </is>
      </c>
      <c r="B17" s="8" t="inlineStr">
        <is>
          <t>Tool-call audit trail</t>
        </is>
      </c>
      <c r="C17" s="8" t="inlineStr">
        <is>
          <t>No record of who/what invoked which tool, when — matters once multiple agents (Hermes, Claude Code, Codex) share the same tool surface.</t>
        </is>
      </c>
      <c r="D17" s="8" t="inlineStr">
        <is>
          <t>Hermes-VPS</t>
        </is>
      </c>
      <c r="E17" s="8" t="inlineStr">
        <is>
          <t>Not Started</t>
        </is>
      </c>
      <c r="F17" s="8" t="inlineStr"/>
      <c r="G17" s="8" t="n">
        <v>5</v>
      </c>
      <c r="H17" s="8">
        <f>IF(E17="Done",G17,IF(E17="Partial",G17*0.5,0))</f>
        <v/>
      </c>
      <c r="I17" s="8" t="inlineStr">
        <is>
          <t>Security Reviewer</t>
        </is>
      </c>
      <c r="J17" s="8" t="inlineStr"/>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9">
      <c r="B49" s="20" t="inlineStr">
        <is>
          <t>TAB TOTAL (includes blank headroom rows above for future additions)</t>
        </is>
      </c>
      <c r="G49" s="20">
        <f>SUM(G5:G47)</f>
        <v/>
      </c>
      <c r="H49" s="20">
        <f>SUM(H5:H47)</f>
        <v/>
      </c>
      <c r="I49" s="20">
        <f>IFERROR(TEXT(H49/G49,"0%")&amp;" complete","0% complete")</f>
        <v/>
      </c>
    </row>
  </sheetData>
  <mergeCells count="2">
    <mergeCell ref="A1:J1"/>
    <mergeCell ref="A2:J2"/>
  </mergeCells>
  <conditionalFormatting sqref="E5:E47">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0E7C7B"/>
    <outlinePr summaryBelow="1" summaryRight="1"/>
    <pageSetUpPr/>
  </sheetPr>
  <dimension ref="A1:J5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Secrets &amp; Vault</t>
        </is>
      </c>
    </row>
    <row r="2" ht="16" customHeight="1">
      <c r="A2" s="2" t="inlineStr">
        <is>
          <t>If a tool needs a password, it comes from here at call time — never hardcoded, never duplicated at rest.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SV-01</t>
        </is>
      </c>
      <c r="B5" s="8" t="inlineStr">
        <is>
          <t>Vault backing store live</t>
        </is>
      </c>
      <c r="C5" s="8" t="inlineStr">
        <is>
          <t>Postgres secrets table, pgcrypto-encrypted, secret_get/secret_set RPCs, passcode supplied per-call only. Backing store physically lives on fileserver (Home-Network), reached by hermes-vps over the WireGuard tunnel — see SV-14 for why that matters.</t>
        </is>
      </c>
      <c r="D5" s="8" t="inlineStr">
        <is>
          <t>Home-Network</t>
        </is>
      </c>
      <c r="E5" s="8" t="inlineStr">
        <is>
          <t>Done</t>
        </is>
      </c>
      <c r="F5" s="8" t="inlineStr">
        <is>
          <t>fileserver:3003 catalog-db</t>
        </is>
      </c>
      <c r="G5" s="8" t="n">
        <v>8</v>
      </c>
      <c r="H5" s="8">
        <f>IF(E5="Done",G5,IF(E5="Partial",G5*0.5,0))</f>
        <v/>
      </c>
      <c r="I5" s="8" t="inlineStr">
        <is>
          <t>Secrets Custodian</t>
        </is>
      </c>
      <c r="J5" s="8" t="inlineStr"/>
    </row>
    <row r="6">
      <c r="A6" s="8" t="inlineStr">
        <is>
          <t>SV-02</t>
        </is>
      </c>
      <c r="B6" s="8" t="inlineStr">
        <is>
          <t>10 secrets migrated</t>
        </is>
      </c>
      <c r="C6" s="8" t="inlineStr">
        <is>
          <t>w_workstation-llm, w_workstation-mguy, server-mark-sudo, server-portainer-admin, hermes-vps-caddy-basic-auth, hermes-vps-dashboard-basic-auth, hermes-vps-vultr-inference-api-key, hermes-vps-brave-search-api-key, meshcentral-claude-login-token, salt-hermes-infra.</t>
        </is>
      </c>
      <c r="D6" s="8" t="inlineStr">
        <is>
          <t>Either / Bridge</t>
        </is>
      </c>
      <c r="E6" s="8" t="inlineStr">
        <is>
          <t>Done</t>
        </is>
      </c>
      <c r="F6" s="8" t="inlineStr">
        <is>
          <t>vault</t>
        </is>
      </c>
      <c r="G6" s="8" t="n">
        <v>10</v>
      </c>
      <c r="H6" s="8">
        <f>IF(E6="Done",G6,IF(E6="Partial",G6*0.5,0))</f>
        <v/>
      </c>
      <c r="I6" s="8" t="inlineStr">
        <is>
          <t>Secrets Custodian</t>
        </is>
      </c>
      <c r="J6" s="8" t="inlineStr"/>
    </row>
    <row r="7">
      <c r="A7" s="8" t="inlineStr">
        <is>
          <t>SV-03</t>
        </is>
      </c>
      <c r="B7" s="8" t="inlineStr">
        <is>
          <t>DuckDNS token in vault</t>
        </is>
      </c>
      <c r="C7" s="8" t="inlineStr">
        <is>
          <t>Not yet migrated.</t>
        </is>
      </c>
      <c r="D7" s="8" t="inlineStr">
        <is>
          <t>Home-Network</t>
        </is>
      </c>
      <c r="E7" s="8" t="inlineStr">
        <is>
          <t>Not Started</t>
        </is>
      </c>
      <c r="F7" s="8" t="inlineStr"/>
      <c r="G7" s="8" t="n">
        <v>3</v>
      </c>
      <c r="H7" s="8">
        <f>IF(E7="Done",G7,IF(E7="Partial",G7*0.5,0))</f>
        <v/>
      </c>
      <c r="I7" s="8" t="inlineStr">
        <is>
          <t>Secrets Custodian</t>
        </is>
      </c>
      <c r="J7" s="8" t="inlineStr"/>
    </row>
    <row r="8">
      <c r="A8" s="8" t="inlineStr">
        <is>
          <t>SV-04</t>
        </is>
      </c>
      <c r="B8" s="8" t="inlineStr">
        <is>
          <t>NPM admin login in vault</t>
        </is>
      </c>
      <c r="C8" s="8" t="inlineStr">
        <is>
          <t>Not yet migrated.</t>
        </is>
      </c>
      <c r="D8" s="8" t="inlineStr">
        <is>
          <t>Home-Network</t>
        </is>
      </c>
      <c r="E8" s="8" t="inlineStr">
        <is>
          <t>Not Started</t>
        </is>
      </c>
      <c r="F8" s="8" t="inlineStr"/>
      <c r="G8" s="8" t="n">
        <v>3</v>
      </c>
      <c r="H8" s="8">
        <f>IF(E8="Done",G8,IF(E8="Partial",G8*0.5,0))</f>
        <v/>
      </c>
      <c r="I8" s="8" t="inlineStr">
        <is>
          <t>Secrets Custodian</t>
        </is>
      </c>
      <c r="J8" s="8" t="inlineStr"/>
    </row>
    <row r="9">
      <c r="A9" s="8" t="inlineStr">
        <is>
          <t>SV-05</t>
        </is>
      </c>
      <c r="B9" s="8" t="inlineStr">
        <is>
          <t>WordPress / MariaDB creds in vault</t>
        </is>
      </c>
      <c r="C9" s="8" t="inlineStr">
        <is>
          <t>Not yet migrated.</t>
        </is>
      </c>
      <c r="D9" s="8" t="inlineStr">
        <is>
          <t>Home-Network</t>
        </is>
      </c>
      <c r="E9" s="8" t="inlineStr">
        <is>
          <t>Not Started</t>
        </is>
      </c>
      <c r="F9" s="8" t="inlineStr"/>
      <c r="G9" s="8" t="n">
        <v>3</v>
      </c>
      <c r="H9" s="8">
        <f>IF(E9="Done",G9,IF(E9="Partial",G9*0.5,0))</f>
        <v/>
      </c>
      <c r="I9" s="8" t="inlineStr">
        <is>
          <t>Secrets Custodian</t>
        </is>
      </c>
      <c r="J9" s="8" t="inlineStr"/>
    </row>
    <row r="10">
      <c r="A10" s="8" t="inlineStr">
        <is>
          <t>SV-06</t>
        </is>
      </c>
      <c r="B10" s="8" t="inlineStr">
        <is>
          <t>AdGuard admin in vault</t>
        </is>
      </c>
      <c r="C10" s="8" t="inlineStr">
        <is>
          <t>Not yet migrated.</t>
        </is>
      </c>
      <c r="D10" s="8" t="inlineStr">
        <is>
          <t>Home-Network</t>
        </is>
      </c>
      <c r="E10" s="8" t="inlineStr">
        <is>
          <t>Not Started</t>
        </is>
      </c>
      <c r="F10" s="8" t="inlineStr"/>
      <c r="G10" s="8" t="n">
        <v>3</v>
      </c>
      <c r="H10" s="8">
        <f>IF(E10="Done",G10,IF(E10="Partial",G10*0.5,0))</f>
        <v/>
      </c>
      <c r="I10" s="8" t="inlineStr">
        <is>
          <t>Secrets Custodian</t>
        </is>
      </c>
      <c r="J10" s="8" t="inlineStr"/>
    </row>
    <row r="11">
      <c r="A11" s="8" t="inlineStr">
        <is>
          <t>SV-07</t>
        </is>
      </c>
      <c r="B11" s="8" t="inlineStr">
        <is>
          <t>Modal API key located + vaulted</t>
        </is>
      </c>
      <c r="C11" s="8" t="inlineStr">
        <is>
          <t>Location not even fully confirmed yet, separate from being in the vault.</t>
        </is>
      </c>
      <c r="D11" s="8" t="inlineStr">
        <is>
          <t>Hermes-VPS</t>
        </is>
      </c>
      <c r="E11" s="8" t="inlineStr">
        <is>
          <t>Not Started</t>
        </is>
      </c>
      <c r="F11" s="8" t="inlineStr"/>
      <c r="G11" s="8" t="n">
        <v>5</v>
      </c>
      <c r="H11" s="8">
        <f>IF(E11="Done",G11,IF(E11="Partial",G11*0.5,0))</f>
        <v/>
      </c>
      <c r="I11" s="8" t="inlineStr">
        <is>
          <t>Secrets Custodian</t>
        </is>
      </c>
      <c r="J11" s="8" t="inlineStr"/>
    </row>
    <row r="12">
      <c r="A12" s="8" t="inlineStr">
        <is>
          <t>SV-08</t>
        </is>
      </c>
      <c r="B12" s="8" t="inlineStr">
        <is>
          <t>/Dockers share plaintext .env exposure remediated</t>
        </is>
      </c>
      <c r="C12" s="8" t="inlineStr">
        <is>
          <t>Every container's real secrets (DB passwords, Portainer admin) sit on an anonymous guest-accessible SMB share, by deliberate design choice — the single largest exposure on the network and outside the vault effort entirely.</t>
        </is>
      </c>
      <c r="D12" s="8" t="inlineStr">
        <is>
          <t>Home-Network</t>
        </is>
      </c>
      <c r="E12" s="8" t="inlineStr">
        <is>
          <t>Not Started</t>
        </is>
      </c>
      <c r="F12" s="8" t="inlineStr">
        <is>
          <t>server:/Dockers (guest ok=yes)</t>
        </is>
      </c>
      <c r="G12" s="8" t="n">
        <v>15</v>
      </c>
      <c r="H12" s="8">
        <f>IF(E12="Done",G12,IF(E12="Partial",G12*0.5,0))</f>
        <v/>
      </c>
      <c r="I12" s="8" t="inlineStr">
        <is>
          <t>Security Reviewer</t>
        </is>
      </c>
      <c r="J12" s="8" t="inlineStr">
        <is>
          <t>Biggest single item on this whole workbook. Scored here; see 12_Security_Hardening SH-03 cross-reference</t>
        </is>
      </c>
    </row>
    <row r="13">
      <c r="A13" s="8" t="inlineStr">
        <is>
          <t>SV-09</t>
        </is>
      </c>
      <c r="B13" s="8" t="inlineStr">
        <is>
          <t>Vultr inference key removed from config.yaml plaintext</t>
        </is>
      </c>
      <c r="C13" s="8" t="inlineStr">
        <is>
          <t>In the vault now, but never confirmed the plaintext copy in providers.vultr was actually deleted rather than just duplicated.</t>
        </is>
      </c>
      <c r="D13" s="8" t="inlineStr">
        <is>
          <t>Hermes-VPS</t>
        </is>
      </c>
      <c r="E13" s="8" t="inlineStr">
        <is>
          <t>Not Started</t>
        </is>
      </c>
      <c r="F13" s="8" t="inlineStr">
        <is>
          <t>hermes-vps config.yaml</t>
        </is>
      </c>
      <c r="G13" s="8" t="n">
        <v>3</v>
      </c>
      <c r="H13" s="8">
        <f>IF(E13="Done",G13,IF(E13="Partial",G13*0.5,0))</f>
        <v/>
      </c>
      <c r="I13" s="8" t="inlineStr">
        <is>
          <t>Secrets Custodian</t>
        </is>
      </c>
      <c r="J13" s="8" t="inlineStr"/>
    </row>
    <row r="14">
      <c r="A14" s="8" t="inlineStr">
        <is>
          <t>SV-10</t>
        </is>
      </c>
      <c r="B14" s="8" t="inlineStr">
        <is>
          <t>Secret rotation policy</t>
        </is>
      </c>
      <c r="C14" s="8" t="inlineStr">
        <is>
          <t>Nothing defines when/how any of the 10 vaulted secrets get rotated.</t>
        </is>
      </c>
      <c r="D14" s="8" t="inlineStr">
        <is>
          <t>N/A (process/doc)</t>
        </is>
      </c>
      <c r="E14" s="8" t="inlineStr">
        <is>
          <t>Not Started</t>
        </is>
      </c>
      <c r="F14" s="8" t="inlineStr"/>
      <c r="G14" s="8" t="n">
        <v>5</v>
      </c>
      <c r="H14" s="8">
        <f>IF(E14="Done",G14,IF(E14="Partial",G14*0.5,0))</f>
        <v/>
      </c>
      <c r="I14" s="8" t="inlineStr">
        <is>
          <t>Secrets Custodian</t>
        </is>
      </c>
      <c r="J14" s="8" t="inlineStr"/>
    </row>
    <row r="15">
      <c r="A15" s="8" t="inlineStr">
        <is>
          <t>SV-11</t>
        </is>
      </c>
      <c r="B15" s="8" t="inlineStr">
        <is>
          <t>Vault access audit log</t>
        </is>
      </c>
      <c r="C15" s="8" t="inlineStr">
        <is>
          <t>No record of who called get_secret, when, for what.</t>
        </is>
      </c>
      <c r="D15" s="8" t="inlineStr">
        <is>
          <t>Hermes-VPS</t>
        </is>
      </c>
      <c r="E15" s="8" t="inlineStr">
        <is>
          <t>Not Started</t>
        </is>
      </c>
      <c r="F15" s="8" t="inlineStr"/>
      <c r="G15" s="8" t="n">
        <v>5</v>
      </c>
      <c r="H15" s="8">
        <f>IF(E15="Done",G15,IF(E15="Partial",G15*0.5,0))</f>
        <v/>
      </c>
      <c r="I15" s="8" t="inlineStr">
        <is>
          <t>Security Reviewer</t>
        </is>
      </c>
      <c r="J15" s="8" t="inlineStr"/>
    </row>
    <row r="16">
      <c r="A16" s="8" t="inlineStr">
        <is>
          <t>SV-12</t>
        </is>
      </c>
      <c r="B16" s="8" t="inlineStr">
        <is>
          <t>Vault server consolidated to one deployment</t>
        </is>
      </c>
      <c r="C16" s="8" t="inlineStr">
        <is>
          <t>Same underlying item as 04_Tool_MCP_Layer TM-06 — scored here since it's fundamentally a secrets-handling problem, not just a tooling one.</t>
        </is>
      </c>
      <c r="D16" s="8" t="inlineStr">
        <is>
          <t>Hermes-VPS</t>
        </is>
      </c>
      <c r="E16" s="8" t="inlineStr">
        <is>
          <t>Not Started</t>
        </is>
      </c>
      <c r="F16" s="8" t="inlineStr">
        <is>
          <t>4x deployments</t>
        </is>
      </c>
      <c r="G16" s="8" t="n">
        <v>12</v>
      </c>
      <c r="H16" s="8">
        <f>IF(E16="Done",G16,IF(E16="Partial",G16*0.5,0))</f>
        <v/>
      </c>
      <c r="I16" s="8" t="inlineStr">
        <is>
          <t>Hermes Design Specialist</t>
        </is>
      </c>
      <c r="J16" s="8" t="inlineStr"/>
    </row>
    <row r="17">
      <c r="A17" s="8" t="inlineStr">
        <is>
          <t>SV-14</t>
        </is>
      </c>
      <c r="B17" s="8" t="inlineStr">
        <is>
          <t>Catalog/vault reachability defined for tunnel-down</t>
        </is>
      </c>
      <c r="C17" s="8" t="inlineStr">
        <is>
          <t>catalog_mcp.py and vault_mcp.py on hermes-vps both call out to fileserver:3003 over the WireGuard tunnel. 03_Model_Routing_Resilience's MR-05 fire drill only covers the local model falling back to Codex — it does NOT cover what happens to Hermes's memory and secrets access if the same tunnel is down. SUPERSEDED by the 2026-10-04 VPS self-sufficiency rule: the answer isn't 'define acceptable degradation,' it's 'this dependency on the home network isn't allowed to exist' — see SV-15.</t>
        </is>
      </c>
      <c r="D17" s="8" t="inlineStr">
        <is>
          <t>Either / Bridge</t>
        </is>
      </c>
      <c r="E17" s="8" t="inlineStr">
        <is>
          <t>Not Started</t>
        </is>
      </c>
      <c r="F17" s="8" t="inlineStr"/>
      <c r="G17" s="8" t="n">
        <v>12</v>
      </c>
      <c r="H17" s="8">
        <f>IF(E17="Done",G17,IF(E17="Partial",G17*0.5,0))</f>
        <v/>
      </c>
      <c r="I17" s="8" t="inlineStr">
        <is>
          <t>Hermes Design Specialist</t>
        </is>
      </c>
      <c r="J17" s="8" t="inlineStr">
        <is>
          <t>Resolved in principle by SV-15; this row closes once that migration lands</t>
        </is>
      </c>
    </row>
    <row r="18">
      <c r="A18" s="8" t="inlineStr">
        <is>
          <t>SV-15</t>
        </is>
      </c>
      <c r="B18" s="8" t="inlineStr">
        <is>
          <t>Catalog + vault migrated off fileserver</t>
        </is>
      </c>
      <c r="C18" s="8" t="inlineStr">
        <is>
          <t>Required by the 2026-10-04 VPS self-sufficiency rule: hermes-vps must be able to do everything except run the local LLM without depending on the home network. Catalog + vault currently live on fileserver, which violates this. Target: Vultr Managed Database (Postgres, supports pgvector for free) — also solves IM-05's memory-provider storage need in the same move.</t>
        </is>
      </c>
      <c r="D18" s="8" t="inlineStr">
        <is>
          <t>Hermes-VPS</t>
        </is>
      </c>
      <c r="E18" s="8" t="inlineStr">
        <is>
          <t>Not Started</t>
        </is>
      </c>
      <c r="F18" s="8" t="inlineStr">
        <is>
          <t>hermes-catalog-vault-migration-required-2026-10-04</t>
        </is>
      </c>
      <c r="G18" s="8" t="n">
        <v>12</v>
      </c>
      <c r="H18" s="8">
        <f>IF(E18="Done",G18,IF(E18="Partial",G18*0.5,0))</f>
        <v/>
      </c>
      <c r="I18" s="8" t="inlineStr">
        <is>
          <t>Hermes Design Specialist</t>
        </is>
      </c>
      <c r="J18" s="8" t="inlineStr">
        <is>
          <t>Closes SV-14 entirely once done; also unblocks IM-05's Hindsight shared-database option</t>
        </is>
      </c>
    </row>
    <row r="19">
      <c r="A19" s="8" t="inlineStr">
        <is>
          <t>SV-13</t>
        </is>
      </c>
      <c r="B19" s="8" t="inlineStr">
        <is>
          <t>Human-side passcode storage policy</t>
        </is>
      </c>
      <c r="C19" s="8" t="inlineStr">
        <is>
          <t>Define how the vault/Salt passcode is stored and retrieved on the human side (e.g. a password manager entry) so it never needs to be typed into a chat session.</t>
        </is>
      </c>
      <c r="D19" s="8" t="inlineStr">
        <is>
          <t>N/A (process/doc)</t>
        </is>
      </c>
      <c r="E19" s="8" t="inlineStr">
        <is>
          <t>Not Started</t>
        </is>
      </c>
      <c r="F19" s="8" t="inlineStr"/>
      <c r="G19" s="8" t="n">
        <v>5</v>
      </c>
      <c r="H19" s="8">
        <f>IF(E19="Done",G19,IF(E19="Partial",G19*0.5,0))</f>
        <v/>
      </c>
      <c r="I19" s="8" t="inlineStr">
        <is>
          <t>Product Owner (Mark)</t>
        </is>
      </c>
      <c r="J19" s="8" t="inlineStr">
        <is>
          <t>Passcode was typed directly in chat on 2026-10-03; not persisted anywhere by Claude, but this feature would make that unnecessary going forward</t>
        </is>
      </c>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c r="A48" s="8" t="n"/>
      <c r="B48" s="8" t="n"/>
      <c r="C48" s="8" t="n"/>
      <c r="D48" s="8" t="n"/>
      <c r="E48" s="8" t="n"/>
      <c r="F48" s="8" t="n"/>
      <c r="G48" s="8" t="n"/>
      <c r="H48" s="8">
        <f>IF(E48="Done",G48,IF(E48="Partial",G48*0.5,0))</f>
        <v/>
      </c>
      <c r="I48" s="8" t="n"/>
      <c r="J48" s="8" t="n"/>
    </row>
    <row r="49">
      <c r="A49" s="8" t="n"/>
      <c r="B49" s="8" t="n"/>
      <c r="C49" s="8" t="n"/>
      <c r="D49" s="8" t="n"/>
      <c r="E49" s="8" t="n"/>
      <c r="F49" s="8" t="n"/>
      <c r="G49" s="8" t="n"/>
      <c r="H49" s="8">
        <f>IF(E49="Done",G49,IF(E49="Partial",G49*0.5,0))</f>
        <v/>
      </c>
      <c r="I49" s="8" t="n"/>
      <c r="J49" s="8" t="n"/>
    </row>
    <row r="51">
      <c r="B51" s="20" t="inlineStr">
        <is>
          <t>TAB TOTAL (includes blank headroom rows above for future additions)</t>
        </is>
      </c>
      <c r="G51" s="20">
        <f>SUM(G5:G49)</f>
        <v/>
      </c>
      <c r="H51" s="20">
        <f>SUM(H5:H49)</f>
        <v/>
      </c>
      <c r="I51" s="20">
        <f>IFERROR(TEXT(H51/G51,"0%")&amp;" complete","0% complete")</f>
        <v/>
      </c>
    </row>
  </sheetData>
  <mergeCells count="2">
    <mergeCell ref="A1:J1"/>
    <mergeCell ref="A2:J2"/>
  </mergeCells>
  <conditionalFormatting sqref="E5:E49">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000E7C7B"/>
    <outlinePr summaryBelow="1" summaryRight="1"/>
    <pageSetUpPr/>
  </sheetPr>
  <dimension ref="A1:J4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Home-Network Capability Boundary</t>
        </is>
      </c>
    </row>
    <row r="2" ht="16" customHeight="1">
      <c r="A2" s="2" t="inlineStr">
        <is>
          <t>The home network is a swappable capability PROVIDER, reached over WireGuard. It is never where Hermes lives.</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HN-01</t>
        </is>
      </c>
      <c r="B5" s="8" t="inlineStr">
        <is>
          <t>WireGuard tunnel live, subnet routing confirmed</t>
        </is>
      </c>
      <c r="C5" s="8" t="inlineStr">
        <is>
          <t>10.60.0.0/24, VPS 10.60.0.1 / home 10.60.0.2 on fileserver, verified ping + API reachability end-to-end.</t>
        </is>
      </c>
      <c r="D5" s="8" t="inlineStr">
        <is>
          <t>Home-Network</t>
        </is>
      </c>
      <c r="E5" s="8" t="inlineStr">
        <is>
          <t>Done</t>
        </is>
      </c>
      <c r="F5" s="8" t="inlineStr">
        <is>
          <t>fileserver WireGuard container</t>
        </is>
      </c>
      <c r="G5" s="8" t="n">
        <v>10</v>
      </c>
      <c r="H5" s="8">
        <f>IF(E5="Done",G5,IF(E5="Partial",G5*0.5,0))</f>
        <v/>
      </c>
      <c r="I5" s="8" t="inlineStr">
        <is>
          <t>Home-Network Liaison</t>
        </is>
      </c>
      <c r="J5" s="8" t="inlineStr"/>
    </row>
    <row r="6">
      <c r="A6" s="8" t="inlineStr">
        <is>
          <t>HN-02</t>
        </is>
      </c>
      <c r="B6" s="8" t="inlineStr">
        <is>
          <t>IP forwarding + NAT + FORWARD rules</t>
        </is>
      </c>
      <c r="C6" s="8" t="inlineStr">
        <is>
          <t>net.ipv4.ip_forward=1, explicit ACCEPT persisted in PostUp/PostDown.</t>
        </is>
      </c>
      <c r="D6" s="8" t="inlineStr">
        <is>
          <t>Home-Network</t>
        </is>
      </c>
      <c r="E6" s="8" t="inlineStr">
        <is>
          <t>Done</t>
        </is>
      </c>
      <c r="F6" s="8" t="inlineStr">
        <is>
          <t>fileserver</t>
        </is>
      </c>
      <c r="G6" s="8" t="n">
        <v>5</v>
      </c>
      <c r="H6" s="8">
        <f>IF(E6="Done",G6,IF(E6="Partial",G6*0.5,0))</f>
        <v/>
      </c>
      <c r="I6" s="8" t="inlineStr">
        <is>
          <t>Home-Network Liaison</t>
        </is>
      </c>
      <c r="J6" s="8" t="inlineStr"/>
    </row>
    <row r="7">
      <c r="A7" s="8" t="inlineStr">
        <is>
          <t>HN-03</t>
        </is>
      </c>
      <c r="B7" s="8" t="inlineStr">
        <is>
          <t>Home-network capability scope documented in one place</t>
        </is>
      </c>
      <c r="C7" s="8" t="inlineStr">
        <is>
          <t>Two same-day 2026-09-23 decisions define this: web/Docker presence moved to the VPS specifically to avoid exposing home ports, AND the VPN was explicitly scoped to also carry Salt (not just the local model) — both were deliberate, not sequential scope creep. Worth writing down as one coherent statement instead of two separate catalog entities a reader has to reconcile.</t>
        </is>
      </c>
      <c r="D7" s="8" t="inlineStr">
        <is>
          <t>N/A (process/doc)</t>
        </is>
      </c>
      <c r="E7" s="8" t="inlineStr">
        <is>
          <t>Not Started</t>
        </is>
      </c>
      <c r="F7" s="8" t="inlineStr">
        <is>
          <t>hermes-web-and-docker-presence-shifts-to-vps-2026-09-23, hermes-vpn-scope-includes-salt-2026-09-23</t>
        </is>
      </c>
      <c r="G7" s="8" t="n">
        <v>5</v>
      </c>
      <c r="H7" s="8">
        <f>IF(E7="Done",G7,IF(E7="Partial",G7*0.5,0))</f>
        <v/>
      </c>
      <c r="I7" s="8" t="inlineStr">
        <is>
          <t>Hermes Design Specialist</t>
        </is>
      </c>
      <c r="J7" s="8" t="inlineStr"/>
    </row>
    <row r="8">
      <c r="A8" s="8" t="inlineStr">
        <is>
          <t>HN-04</t>
        </is>
      </c>
      <c r="B8" s="8" t="inlineStr">
        <is>
          <t>Device-management capability, current state documented</t>
        </is>
      </c>
      <c r="C8" s="8" t="inlineStr">
        <is>
          <t>MeshCentral (the original device-mgmt pick) was fully replaced by Apache Guacamole 2026-10-01 — RDP/SSH native, no agent install needed, proven end-to-end for w_workstation. This row now just needs the remaining hosts (w_desktop, fileserver, server) confirmed through Guacamole too.</t>
        </is>
      </c>
      <c r="D8" s="8" t="inlineStr">
        <is>
          <t>Home-Network</t>
        </is>
      </c>
      <c r="E8" s="8" t="inlineStr">
        <is>
          <t>Partial</t>
        </is>
      </c>
      <c r="F8" s="8" t="inlineStr">
        <is>
          <t>guacamole-deployed-fileserver-2026-10-01</t>
        </is>
      </c>
      <c r="G8" s="8" t="n">
        <v>5</v>
      </c>
      <c r="H8" s="8">
        <f>IF(E8="Done",G8,IF(E8="Partial",G8*0.5,0))</f>
        <v/>
      </c>
      <c r="I8" s="8" t="inlineStr">
        <is>
          <t>Home-Network Liaison</t>
        </is>
      </c>
      <c r="J8" s="8" t="inlineStr"/>
    </row>
    <row r="9">
      <c r="A9" s="8" t="inlineStr">
        <is>
          <t>HN-05</t>
        </is>
      </c>
      <c r="B9" s="8" t="inlineStr">
        <is>
          <t>Gateway arbitrary-shell exposure closed</t>
        </is>
      </c>
      <c r="C9" s="8" t="inlineStr">
        <is>
          <t>GATEWAY_ALLOW_ALL_USERS=true + 0.0.0.0 + local terminal backend = unauthenticated shell access over the tunnel/LAN. Hermes's own docs warn against this combination.</t>
        </is>
      </c>
      <c r="D9" s="8" t="inlineStr">
        <is>
          <t>Hermes-VPS</t>
        </is>
      </c>
      <c r="E9" s="8" t="inlineStr">
        <is>
          <t>Not Started</t>
        </is>
      </c>
      <c r="F9" s="8" t="inlineStr">
        <is>
          <t>hermes-vps config.yaml</t>
        </is>
      </c>
      <c r="G9" s="8" t="n">
        <v>15</v>
      </c>
      <c r="H9" s="8">
        <f>IF(E9="Done",G9,IF(E9="Partial",G9*0.5,0))</f>
        <v/>
      </c>
      <c r="I9" s="8" t="inlineStr">
        <is>
          <t>Security Reviewer</t>
        </is>
      </c>
      <c r="J9" s="8" t="inlineStr">
        <is>
          <t>High priority — add an allowlist or disable ALLOW_ALL_USERS. Scored here; see 12_Security_Hardening SH-02 cross-reference</t>
        </is>
      </c>
    </row>
    <row r="10">
      <c r="A10" s="8" t="inlineStr">
        <is>
          <t>HN-06</t>
        </is>
      </c>
      <c r="B10" s="8" t="inlineStr">
        <is>
          <t>Tunnel-down alerting</t>
        </is>
      </c>
      <c r="C10" s="8" t="inlineStr">
        <is>
          <t>No notification today if the WireGuard link drops — ties to MR-05's fire drill.</t>
        </is>
      </c>
      <c r="D10" s="8" t="inlineStr">
        <is>
          <t>Either / Bridge</t>
        </is>
      </c>
      <c r="E10" s="8" t="inlineStr">
        <is>
          <t>Not Started</t>
        </is>
      </c>
      <c r="F10" s="8" t="inlineStr"/>
      <c r="G10" s="8" t="n">
        <v>5</v>
      </c>
      <c r="H10" s="8">
        <f>IF(E10="Done",G10,IF(E10="Partial",G10*0.5,0))</f>
        <v/>
      </c>
      <c r="I10" s="8" t="inlineStr">
        <is>
          <t>Observability</t>
        </is>
      </c>
      <c r="J10" s="8" t="inlineStr"/>
    </row>
    <row r="11">
      <c r="A11" s="8" t="inlineStr">
        <is>
          <t>HN-07</t>
        </is>
      </c>
      <c r="B11" s="8" t="inlineStr">
        <is>
          <t>Minimum-exposure audit of tunnel ACL</t>
        </is>
      </c>
      <c r="C11" s="8" t="inlineStr">
        <is>
          <t>Confirm only catalog/Salt/LLM ports are actually reachable over the tunnel, nothing incidental.</t>
        </is>
      </c>
      <c r="D11" s="8" t="inlineStr">
        <is>
          <t>Home-Network</t>
        </is>
      </c>
      <c r="E11" s="8" t="inlineStr">
        <is>
          <t>Not Started</t>
        </is>
      </c>
      <c r="F11" s="8" t="inlineStr"/>
      <c r="G11" s="8" t="n">
        <v>5</v>
      </c>
      <c r="H11" s="8">
        <f>IF(E11="Done",G11,IF(E11="Partial",G11*0.5,0))</f>
        <v/>
      </c>
      <c r="I11" s="8" t="inlineStr">
        <is>
          <t>Security Reviewer</t>
        </is>
      </c>
      <c r="J11" s="8" t="inlineStr"/>
    </row>
    <row r="12">
      <c r="A12" s="8" t="inlineStr">
        <is>
          <t>HN-08</t>
        </is>
      </c>
      <c r="B12" s="8" t="inlineStr">
        <is>
          <t>WireGuard key rotation policy</t>
        </is>
      </c>
      <c r="C12" s="8" t="inlineStr">
        <is>
          <t>No defined cadence or trigger for rotating the tunnel keypair.</t>
        </is>
      </c>
      <c r="D12" s="8" t="inlineStr">
        <is>
          <t>Home-Network</t>
        </is>
      </c>
      <c r="E12" s="8" t="inlineStr">
        <is>
          <t>Not Started</t>
        </is>
      </c>
      <c r="F12" s="8" t="inlineStr"/>
      <c r="G12" s="8" t="n">
        <v>3</v>
      </c>
      <c r="H12" s="8">
        <f>IF(E12="Done",G12,IF(E12="Partial",G12*0.5,0))</f>
        <v/>
      </c>
      <c r="I12" s="8" t="inlineStr">
        <is>
          <t>Security Reviewer</t>
        </is>
      </c>
      <c r="J12" s="8" t="inlineStr"/>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4">
      <c r="B44" s="20" t="inlineStr">
        <is>
          <t>TAB TOTAL (includes blank headroom rows above for future additions)</t>
        </is>
      </c>
      <c r="G44" s="20">
        <f>SUM(G5:G42)</f>
        <v/>
      </c>
      <c r="H44" s="20">
        <f>SUM(H5:H42)</f>
        <v/>
      </c>
      <c r="I44" s="20">
        <f>IFERROR(TEXT(H44/G44,"0%")&amp;" complete","0% complete")</f>
        <v/>
      </c>
    </row>
  </sheetData>
  <mergeCells count="2">
    <mergeCell ref="A1:J1"/>
    <mergeCell ref="A2:J2"/>
  </mergeCells>
  <conditionalFormatting sqref="E5:E42">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Local Inference Tier</t>
        </is>
      </c>
    </row>
    <row r="2" ht="16" customHeight="1">
      <c r="A2" s="2" t="inlineStr">
        <is>
          <t>The free-tier accelerant on w_workstation. Optional by definition — see 03_Model_Routing_Resilience for why it must never be load-bearing.</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LI-01</t>
        </is>
      </c>
      <c r="B5" s="8" t="inlineStr">
        <is>
          <t>Hardware profiled via Salt</t>
        </is>
      </c>
      <c r="C5" s="8" t="inlineStr">
        <is>
          <t>Xeon W-2225 (4c/8t), 64GB RAM (2x32GB @ 2933MT/s), RTX A4000 16GB, PCIe 3.0 x16 — verified 2026-10-03.</t>
        </is>
      </c>
      <c r="D5" s="8" t="inlineStr">
        <is>
          <t>Home-Network</t>
        </is>
      </c>
      <c r="E5" s="8" t="inlineStr">
        <is>
          <t>Done</t>
        </is>
      </c>
      <c r="F5" s="8" t="inlineStr">
        <is>
          <t>w_workstation</t>
        </is>
      </c>
      <c r="G5" s="8" t="n">
        <v>5</v>
      </c>
      <c r="H5" s="8">
        <f>IF(E5="Done",G5,IF(E5="Partial",G5*0.5,0))</f>
        <v/>
      </c>
      <c r="I5" s="8" t="inlineStr">
        <is>
          <t>Model/Routing Engineer</t>
        </is>
      </c>
      <c r="J5" s="8" t="inlineStr"/>
    </row>
    <row r="6">
      <c r="A6" s="8" t="inlineStr">
        <is>
          <t>LI-02</t>
        </is>
      </c>
      <c r="B6" s="8" t="inlineStr">
        <is>
          <t>Ollama excluded as target runtime</t>
        </is>
      </c>
      <c r="C6" s="8" t="inlineStr">
        <is>
          <t>User decision, 2026-10-02 — no MoE-aware expert-offload control.</t>
        </is>
      </c>
      <c r="D6" s="8" t="inlineStr">
        <is>
          <t>Home-Network</t>
        </is>
      </c>
      <c r="E6" s="8" t="inlineStr">
        <is>
          <t>Done</t>
        </is>
      </c>
      <c r="F6" s="8" t="inlineStr">
        <is>
          <t>catalog decision entity</t>
        </is>
      </c>
      <c r="G6" s="8" t="n">
        <v>3</v>
      </c>
      <c r="H6" s="8">
        <f>IF(E6="Done",G6,IF(E6="Partial",G6*0.5,0))</f>
        <v/>
      </c>
      <c r="I6" s="8" t="inlineStr">
        <is>
          <t>Model/Routing Engineer</t>
        </is>
      </c>
      <c r="J6" s="8" t="inlineStr"/>
    </row>
    <row r="7">
      <c r="A7" s="8" t="inlineStr">
        <is>
          <t>LI-03</t>
        </is>
      </c>
      <c r="B7" s="8" t="inlineStr">
        <is>
          <t>Runtime chosen</t>
        </is>
      </c>
      <c r="C7" s="8" t="inlineStr">
        <is>
          <t>vLLM / ik_llama.cpp / llama.cpp (CPU expert offload) / KTransformers — none evaluated on this hardware yet.</t>
        </is>
      </c>
      <c r="D7" s="8" t="inlineStr">
        <is>
          <t>Home-Network</t>
        </is>
      </c>
      <c r="E7" s="8" t="inlineStr">
        <is>
          <t>Not Started</t>
        </is>
      </c>
      <c r="F7" s="8" t="inlineStr"/>
      <c r="G7" s="8" t="n">
        <v>10</v>
      </c>
      <c r="H7" s="8">
        <f>IF(E7="Done",G7,IF(E7="Partial",G7*0.5,0))</f>
        <v/>
      </c>
      <c r="I7" s="8" t="inlineStr">
        <is>
          <t>Model/Routing Engineer</t>
        </is>
      </c>
      <c r="J7" s="8" t="inlineStr"/>
    </row>
    <row r="8">
      <c r="A8" s="8" t="inlineStr">
        <is>
          <t>LI-04</t>
        </is>
      </c>
      <c r="B8" s="8" t="inlineStr">
        <is>
          <t>Model chosen + pulled</t>
        </is>
      </c>
      <c r="C8" s="8" t="inlineStr">
        <is>
          <t>Locked in 2026-10-04: Qwen3.6-35B-A3B. Compared against Qwen3.8-27B (dense, rejected — forfeits MoE RAM-offload), Qwen3.8-Flash-Next (MoE but ~2x oversized for this RAM/VRAM budget), and a community Qwen3.8-distilled 35B-A3B (same shape, but scored worse on real agentic tasks: 10/20 vs 16/20). Chosen, not yet pulled or benchmarked.</t>
        </is>
      </c>
      <c r="D8" s="8" t="inlineStr">
        <is>
          <t>Home-Network</t>
        </is>
      </c>
      <c r="E8" s="8" t="inlineStr">
        <is>
          <t>Partial</t>
        </is>
      </c>
      <c r="F8" s="8" t="inlineStr">
        <is>
          <t>hermes-local-model-locked-qwen3.6-35b-a3b-2026-10-04</t>
        </is>
      </c>
      <c r="G8" s="8" t="n">
        <v>8</v>
      </c>
      <c r="H8" s="8">
        <f>IF(E8="Done",G8,IF(E8="Partial",G8*0.5,0))</f>
        <v/>
      </c>
      <c r="I8" s="8" t="inlineStr">
        <is>
          <t>Model/Routing Engineer</t>
        </is>
      </c>
      <c r="J8" s="8" t="inlineStr">
        <is>
          <t>Pulling + benchmarking (LI-07) is the remaining step</t>
        </is>
      </c>
    </row>
    <row r="9">
      <c r="A9" s="8" t="inlineStr">
        <is>
          <t>LI-05</t>
        </is>
      </c>
      <c r="B9" s="8" t="inlineStr">
        <is>
          <t>WSL2 installed (if vLLM chosen)</t>
        </is>
      </c>
      <c r="C9" s="8" t="inlineStr">
        <is>
          <t>No official vLLM Windows build — blocks LI-03 if vLLM wins.</t>
        </is>
      </c>
      <c r="D9" s="8" t="inlineStr">
        <is>
          <t>Home-Network</t>
        </is>
      </c>
      <c r="E9" s="8" t="inlineStr">
        <is>
          <t>Not Started</t>
        </is>
      </c>
      <c r="F9" s="8" t="inlineStr"/>
      <c r="G9" s="8" t="n">
        <v>5</v>
      </c>
      <c r="H9" s="8">
        <f>IF(E9="Done",G9,IF(E9="Partial",G9*0.5,0))</f>
        <v/>
      </c>
      <c r="I9" s="8" t="inlineStr">
        <is>
          <t>Model/Routing Engineer</t>
        </is>
      </c>
      <c r="J9" s="8" t="inlineStr"/>
    </row>
    <row r="10">
      <c r="A10" s="8" t="inlineStr">
        <is>
          <t>LI-06</t>
        </is>
      </c>
      <c r="B10" s="8" t="inlineStr">
        <is>
          <t>Context window aligned with Hermes's floor</t>
        </is>
      </c>
      <c r="C10" s="8" t="inlineStr">
        <is>
          <t>Hermes has a hard MINIMUM_CONTEXT_LENGTH=64_000; new provider's --max-model-len must be &gt;=65536, matched in config.yaml (static, not live-probed).</t>
        </is>
      </c>
      <c r="D10" s="8" t="inlineStr">
        <is>
          <t>Either / Bridge</t>
        </is>
      </c>
      <c r="E10" s="8" t="inlineStr">
        <is>
          <t>Not Started</t>
        </is>
      </c>
      <c r="F10" s="8" t="inlineStr">
        <is>
          <t>agent/model_metadata.py:272 (hermes-vps)</t>
        </is>
      </c>
      <c r="G10" s="8" t="n">
        <v>5</v>
      </c>
      <c r="H10" s="8">
        <f>IF(E10="Done",G10,IF(E10="Partial",G10*0.5,0))</f>
        <v/>
      </c>
      <c r="I10" s="8" t="inlineStr">
        <is>
          <t>Model/Routing Engineer</t>
        </is>
      </c>
      <c r="J10" s="8" t="inlineStr"/>
    </row>
    <row r="11">
      <c r="A11" s="8" t="inlineStr">
        <is>
          <t>LI-07</t>
        </is>
      </c>
      <c r="B11" s="8" t="inlineStr">
        <is>
          <t>Benchmark vs. current 4B/8B baseline</t>
        </is>
      </c>
      <c r="C11" s="8" t="inlineStr">
        <is>
          <t>Speed + tool-call correctness head-to-head before cutover.</t>
        </is>
      </c>
      <c r="D11" s="8" t="inlineStr">
        <is>
          <t>Home-Network</t>
        </is>
      </c>
      <c r="E11" s="8" t="inlineStr">
        <is>
          <t>Not Started</t>
        </is>
      </c>
      <c r="F11" s="8" t="inlineStr"/>
      <c r="G11" s="8" t="n">
        <v>8</v>
      </c>
      <c r="H11" s="8">
        <f>IF(E11="Done",G11,IF(E11="Partial",G11*0.5,0))</f>
        <v/>
      </c>
      <c r="I11" s="8" t="inlineStr">
        <is>
          <t>Model/Routing Engineer</t>
        </is>
      </c>
      <c r="J11" s="8" t="inlineStr"/>
    </row>
    <row r="12">
      <c r="A12" s="8" t="inlineStr">
        <is>
          <t>LI-08</t>
        </is>
      </c>
      <c r="B12" s="8" t="inlineStr">
        <is>
          <t>Ollama decommissioned</t>
        </is>
      </c>
      <c r="C12" s="8" t="inlineStr">
        <is>
          <t>By design, only AFTER the replacement is verified end-to-end — brief coexistence is intentional, not a mistake.</t>
        </is>
      </c>
      <c r="D12" s="8" t="inlineStr">
        <is>
          <t>Home-Network</t>
        </is>
      </c>
      <c r="E12" s="8" t="inlineStr">
        <is>
          <t>Not Started</t>
        </is>
      </c>
      <c r="F12" s="8" t="inlineStr"/>
      <c r="G12" s="8" t="n">
        <v>3</v>
      </c>
      <c r="H12" s="8">
        <f>IF(E12="Done",G12,IF(E12="Partial",G12*0.5,0))</f>
        <v/>
      </c>
      <c r="I12" s="8" t="inlineStr">
        <is>
          <t>Model/Routing Engineer</t>
        </is>
      </c>
      <c r="J12" s="8" t="inlineStr"/>
    </row>
    <row r="13">
      <c r="A13" s="8" t="inlineStr">
        <is>
          <t>LI-09</t>
        </is>
      </c>
      <c r="B13" s="8" t="inlineStr">
        <is>
          <t>Vision capability preserved</t>
        </is>
      </c>
      <c r="C13" s="8" t="inlineStr">
        <is>
          <t>Don't lose the qwen3-vl screenshot/OCR capability when the runtime changes.</t>
        </is>
      </c>
      <c r="D13" s="8" t="inlineStr">
        <is>
          <t>Home-Network</t>
        </is>
      </c>
      <c r="E13" s="8" t="inlineStr">
        <is>
          <t>Not Started</t>
        </is>
      </c>
      <c r="F13" s="8" t="inlineStr"/>
      <c r="G13" s="8" t="n">
        <v>5</v>
      </c>
      <c r="H13" s="8">
        <f>IF(E13="Done",G13,IF(E13="Partial",G13*0.5,0))</f>
        <v/>
      </c>
      <c r="I13" s="8" t="inlineStr">
        <is>
          <t>Model/Routing Engineer</t>
        </is>
      </c>
      <c r="J13" s="8" t="inlineStr"/>
    </row>
    <row r="14">
      <c r="A14" s="8" t="inlineStr">
        <is>
          <t>LI-10</t>
        </is>
      </c>
      <c r="B14" s="8" t="inlineStr">
        <is>
          <t>Embeddings model preserved</t>
        </is>
      </c>
      <c r="C14" s="8" t="inlineStr">
        <is>
          <t>nomic-embed-text (or equivalent) needed for memory/RAG — easy to drop when swapping runtimes.</t>
        </is>
      </c>
      <c r="D14" s="8" t="inlineStr">
        <is>
          <t>Home-Network</t>
        </is>
      </c>
      <c r="E14" s="8" t="inlineStr">
        <is>
          <t>Not Started</t>
        </is>
      </c>
      <c r="F14" s="8" t="inlineStr"/>
      <c r="G14" s="8" t="n">
        <v>5</v>
      </c>
      <c r="H14" s="8">
        <f>IF(E14="Done",G14,IF(E14="Partial",G14*0.5,0))</f>
        <v/>
      </c>
      <c r="I14" s="8" t="inlineStr">
        <is>
          <t>Model/Routing Engineer</t>
        </is>
      </c>
      <c r="J14" s="8" t="inlineStr"/>
    </row>
    <row r="15">
      <c r="A15" s="8" t="inlineStr">
        <is>
          <t>LI-11</t>
        </is>
      </c>
      <c r="B15" s="8" t="inlineStr">
        <is>
          <t>GPU driver version policy</t>
        </is>
      </c>
      <c r="C15" s="8" t="inlineStr">
        <is>
          <t>No pinning/testing policy for NVIDIA driver updates on w_workstation.</t>
        </is>
      </c>
      <c r="D15" s="8" t="inlineStr">
        <is>
          <t>Home-Network</t>
        </is>
      </c>
      <c r="E15" s="8" t="inlineStr">
        <is>
          <t>Not Started</t>
        </is>
      </c>
      <c r="F15" s="8" t="inlineStr"/>
      <c r="G15" s="8" t="n">
        <v>3</v>
      </c>
      <c r="H15" s="8">
        <f>IF(E15="Done",G15,IF(E15="Partial",G15*0.5,0))</f>
        <v/>
      </c>
      <c r="I15" s="8" t="inlineStr">
        <is>
          <t>Home-Network Liaison</t>
        </is>
      </c>
      <c r="J15" s="8" t="inlineStr"/>
    </row>
    <row r="16">
      <c r="A16" s="8" t="inlineStr">
        <is>
          <t>LI-12</t>
        </is>
      </c>
      <c r="B16" s="8" t="inlineStr">
        <is>
          <t>Never-sleep power settings confirmed</t>
        </is>
      </c>
      <c r="C16" s="8" t="inlineStr">
        <is>
          <t>Flagged as an open question in VISION.md — never actually locked down.</t>
        </is>
      </c>
      <c r="D16" s="8" t="inlineStr">
        <is>
          <t>Home-Network</t>
        </is>
      </c>
      <c r="E16" s="8" t="inlineStr">
        <is>
          <t>Not Started</t>
        </is>
      </c>
      <c r="F16" s="8" t="inlineStr"/>
      <c r="G16" s="8" t="n">
        <v>5</v>
      </c>
      <c r="H16" s="8">
        <f>IF(E16="Done",G16,IF(E16="Partial",G16*0.5,0))</f>
        <v/>
      </c>
      <c r="I16" s="8" t="inlineStr">
        <is>
          <t>Home-Network Liaison</t>
        </is>
      </c>
      <c r="J16" s="8" t="inlineStr"/>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tabColor rgb="000E7C7B"/>
    <outlinePr summaryBelow="1" summaryRight="1"/>
    <pageSetUpPr/>
  </sheetPr>
  <dimension ref="A1:J4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Interfaces &amp; Access Paths</t>
        </is>
      </c>
    </row>
    <row r="2" ht="16" customHeight="1">
      <c r="A2" s="2" t="inlineStr">
        <is>
          <t>However you reach Hermes, it must be the same Hermes — this tab is about the doors, not what's behind them.</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IA-01</t>
        </is>
      </c>
      <c r="B5" s="8" t="inlineStr">
        <is>
          <t>Web UI access path decided</t>
        </is>
      </c>
      <c r="C5" s="8" t="inlineStr">
        <is>
          <t>Password-gated, behind existing DuckDNS + NPM, path-based Custom Location on theguylab.duckdns.org.</t>
        </is>
      </c>
      <c r="D5" s="8" t="inlineStr">
        <is>
          <t>Hermes-VPS</t>
        </is>
      </c>
      <c r="E5" s="8" t="inlineStr">
        <is>
          <t>Done</t>
        </is>
      </c>
      <c r="F5" s="8" t="inlineStr">
        <is>
          <t>decision only, not yet built</t>
        </is>
      </c>
      <c r="G5" s="8" t="n">
        <v>3</v>
      </c>
      <c r="H5" s="8">
        <f>IF(E5="Done",G5,IF(E5="Partial",G5*0.5,0))</f>
        <v/>
      </c>
      <c r="I5" s="8" t="inlineStr">
        <is>
          <t>Interface Engineer</t>
        </is>
      </c>
      <c r="J5" s="8" t="inlineStr"/>
    </row>
    <row r="6">
      <c r="A6" s="8" t="inlineStr">
        <is>
          <t>IA-02</t>
        </is>
      </c>
      <c r="B6" s="8" t="inlineStr">
        <is>
          <t>Web UI Custom Location + auth built</t>
        </is>
      </c>
      <c r="C6" s="8" t="inlineStr">
        <is>
          <t>Basic Auth vs. app-level login still an open decision; nothing built either way.</t>
        </is>
      </c>
      <c r="D6" s="8" t="inlineStr">
        <is>
          <t>Hermes-VPS</t>
        </is>
      </c>
      <c r="E6" s="8" t="inlineStr">
        <is>
          <t>Not Started</t>
        </is>
      </c>
      <c r="F6" s="8" t="inlineStr"/>
      <c r="G6" s="8" t="n">
        <v>8</v>
      </c>
      <c r="H6" s="8">
        <f>IF(E6="Done",G6,IF(E6="Partial",G6*0.5,0))</f>
        <v/>
      </c>
      <c r="I6" s="8" t="inlineStr">
        <is>
          <t>Interface Engineer</t>
        </is>
      </c>
      <c r="J6" s="8" t="inlineStr"/>
    </row>
    <row r="7">
      <c r="A7" s="8" t="inlineStr">
        <is>
          <t>IA-03</t>
        </is>
      </c>
      <c r="B7" s="8" t="inlineStr">
        <is>
          <t>Hermes Desktop installed, pointed at VPS backend</t>
        </is>
      </c>
      <c r="C7" s="8" t="inlineStr">
        <is>
          <t>Zero progress — this is G6, and blocks ever proving 'same experience, two locations.'</t>
        </is>
      </c>
      <c r="D7" s="8" t="inlineStr">
        <is>
          <t>N/A (process/doc)</t>
        </is>
      </c>
      <c r="E7" s="8" t="inlineStr">
        <is>
          <t>Not Started</t>
        </is>
      </c>
      <c r="F7" s="8" t="inlineStr"/>
      <c r="G7" s="8" t="n">
        <v>10</v>
      </c>
      <c r="H7" s="8">
        <f>IF(E7="Done",G7,IF(E7="Partial",G7*0.5,0))</f>
        <v/>
      </c>
      <c r="I7" s="8" t="inlineStr">
        <is>
          <t>Interface Engineer</t>
        </is>
      </c>
      <c r="J7" s="8" t="inlineStr"/>
    </row>
    <row r="8">
      <c r="A8" s="8" t="inlineStr">
        <is>
          <t>IA-04</t>
        </is>
      </c>
      <c r="B8" s="8" t="inlineStr">
        <is>
          <t>Same-experience-two-locations test executed</t>
        </is>
      </c>
      <c r="C8" s="8" t="inlineStr">
        <is>
          <t>The actual proof step for G6 — not built until IA-03 exists.</t>
        </is>
      </c>
      <c r="D8" s="8" t="inlineStr">
        <is>
          <t>N/A (process/doc)</t>
        </is>
      </c>
      <c r="E8" s="8" t="inlineStr">
        <is>
          <t>Not Started</t>
        </is>
      </c>
      <c r="F8" s="8" t="inlineStr"/>
      <c r="G8" s="8" t="n">
        <v>5</v>
      </c>
      <c r="H8" s="8">
        <f>IF(E8="Done",G8,IF(E8="Partial",G8*0.5,0))</f>
        <v/>
      </c>
      <c r="I8" s="8" t="inlineStr">
        <is>
          <t>Hermes Design Specialist</t>
        </is>
      </c>
      <c r="J8" s="8" t="inlineStr"/>
    </row>
    <row r="9">
      <c r="A9" s="8" t="inlineStr">
        <is>
          <t>IA-05</t>
        </is>
      </c>
      <c r="B9" s="8" t="inlineStr">
        <is>
          <t>Signal/Telegram channel configured</t>
        </is>
      </c>
      <c r="C9" s="8" t="inlineStr">
        <is>
          <t>hermes-gateway process is running; no channel wired on top of it yet. This is the interface built specifically for the GP 'looks like ordinary traffic' constraint.</t>
        </is>
      </c>
      <c r="D9" s="8" t="inlineStr">
        <is>
          <t>Hermes-VPS</t>
        </is>
      </c>
      <c r="E9" s="8" t="inlineStr">
        <is>
          <t>Not Started</t>
        </is>
      </c>
      <c r="F9" s="8" t="inlineStr">
        <is>
          <t>hermes-gateway</t>
        </is>
      </c>
      <c r="G9" s="8" t="n">
        <v>10</v>
      </c>
      <c r="H9" s="8">
        <f>IF(E9="Done",G9,IF(E9="Partial",G9*0.5,0))</f>
        <v/>
      </c>
      <c r="I9" s="8" t="inlineStr">
        <is>
          <t>Interface Engineer</t>
        </is>
      </c>
      <c r="J9" s="8" t="inlineStr"/>
    </row>
    <row r="10">
      <c r="A10" s="8" t="inlineStr">
        <is>
          <t>IA-06</t>
        </is>
      </c>
      <c r="B10" s="8" t="inlineStr">
        <is>
          <t>GP-workstation-as-backend-host / Zscaler-bypass resolved</t>
        </is>
      </c>
      <c r="C10" s="8" t="inlineStr">
        <is>
          <t>Both still-open asks point the opposite direction from the 'ordinary traffic only' design — a decision either way closes this out.</t>
        </is>
      </c>
      <c r="D10" s="8" t="inlineStr">
        <is>
          <t>N/A (process/doc)</t>
        </is>
      </c>
      <c r="E10" s="8" t="inlineStr">
        <is>
          <t>Not Started</t>
        </is>
      </c>
      <c r="F10" s="8" t="inlineStr">
        <is>
          <t>flagged, unresolved</t>
        </is>
      </c>
      <c r="G10" s="8" t="n">
        <v>8</v>
      </c>
      <c r="H10" s="8">
        <f>IF(E10="Done",G10,IF(E10="Partial",G10*0.5,0))</f>
        <v/>
      </c>
      <c r="I10" s="8" t="inlineStr">
        <is>
          <t>Security Reviewer</t>
        </is>
      </c>
      <c r="J10" s="8" t="inlineStr"/>
    </row>
    <row r="11">
      <c r="A11" s="8" t="inlineStr">
        <is>
          <t>IA-07</t>
        </is>
      </c>
      <c r="B11" s="8" t="inlineStr">
        <is>
          <t>Mobile access path considered</t>
        </is>
      </c>
      <c r="C11" s="8" t="inlineStr">
        <is>
          <t>Phone browser to web UI, or a messaging app — not explicitly designed for yet.</t>
        </is>
      </c>
      <c r="D11" s="8" t="inlineStr">
        <is>
          <t>N/A (process/doc)</t>
        </is>
      </c>
      <c r="E11" s="8" t="inlineStr">
        <is>
          <t>Not Started</t>
        </is>
      </c>
      <c r="F11" s="8" t="inlineStr"/>
      <c r="G11" s="8" t="n">
        <v>3</v>
      </c>
      <c r="H11" s="8">
        <f>IF(E11="Done",G11,IF(E11="Partial",G11*0.5,0))</f>
        <v/>
      </c>
      <c r="I11" s="8" t="inlineStr">
        <is>
          <t>Interface Engineer</t>
        </is>
      </c>
      <c r="J11" s="8" t="inlineStr"/>
    </row>
    <row r="12">
      <c r="A12" s="8" t="inlineStr">
        <is>
          <t>IA-08</t>
        </is>
      </c>
      <c r="B12" s="8" t="inlineStr">
        <is>
          <t>Voice interface explicitly scoped or deferred</t>
        </is>
      </c>
      <c r="C12" s="8" t="inlineStr">
        <is>
          <t>Not a current goal — worth writing down as a deliberate non-goal rather than leaving it ambiguous.</t>
        </is>
      </c>
      <c r="D12" s="8" t="inlineStr">
        <is>
          <t>N/A (process/doc)</t>
        </is>
      </c>
      <c r="E12" s="8" t="inlineStr">
        <is>
          <t>Not Started</t>
        </is>
      </c>
      <c r="F12" s="8" t="inlineStr"/>
      <c r="G12" s="8" t="n">
        <v>2</v>
      </c>
      <c r="H12" s="8">
        <f>IF(E12="Done",G12,IF(E12="Partial",G12*0.5,0))</f>
        <v/>
      </c>
      <c r="I12" s="8" t="inlineStr">
        <is>
          <t>Hermes Design Specialist</t>
        </is>
      </c>
      <c r="J12" s="8" t="inlineStr"/>
    </row>
    <row r="13">
      <c r="A13" s="8" t="inlineStr">
        <is>
          <t>IA-09</t>
        </is>
      </c>
      <c r="B13" s="8" t="inlineStr">
        <is>
          <t>Access logging per interface</t>
        </is>
      </c>
      <c r="C13" s="8" t="inlineStr">
        <is>
          <t>No record of who/when hit the web UI, Desktop, or future Signal channel.</t>
        </is>
      </c>
      <c r="D13" s="8" t="inlineStr">
        <is>
          <t>Hermes-VPS</t>
        </is>
      </c>
      <c r="E13" s="8" t="inlineStr">
        <is>
          <t>Not Started</t>
        </is>
      </c>
      <c r="F13" s="8" t="inlineStr"/>
      <c r="G13" s="8" t="n">
        <v>3</v>
      </c>
      <c r="H13" s="8">
        <f>IF(E13="Done",G13,IF(E13="Partial",G13*0.5,0))</f>
        <v/>
      </c>
      <c r="I13" s="8" t="inlineStr">
        <is>
          <t>Security Reviewer</t>
        </is>
      </c>
      <c r="J13" s="8" t="inlineStr"/>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5">
      <c r="B45" s="20" t="inlineStr">
        <is>
          <t>TAB TOTAL (includes blank headroom rows above for future additions)</t>
        </is>
      </c>
      <c r="G45" s="20">
        <f>SUM(G5:G43)</f>
        <v/>
      </c>
      <c r="H45" s="20">
        <f>SUM(H5:H43)</f>
        <v/>
      </c>
      <c r="I45" s="20">
        <f>IFERROR(TEXT(H45/G45,"0%")&amp;" complete","0% complete")</f>
        <v/>
      </c>
    </row>
  </sheetData>
  <mergeCells count="2">
    <mergeCell ref="A1:J1"/>
    <mergeCell ref="A2:J2"/>
  </mergeCells>
  <conditionalFormatting sqref="E5:E43">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Observability</t>
        </is>
      </c>
    </row>
    <row r="2" ht="16" customHeight="1">
      <c r="A2" s="2" t="inlineStr">
        <is>
          <t>You should be able to tell Hermes is healthy without SSHing anywhere.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OB-01</t>
        </is>
      </c>
      <c r="B5" s="8" t="inlineStr">
        <is>
          <t>Routing-decision logging</t>
        </is>
      </c>
      <c r="C5" s="8" t="inlineStr">
        <is>
          <t>complexity_router.log captures every verdict + reason.</t>
        </is>
      </c>
      <c r="D5" s="8" t="inlineStr">
        <is>
          <t>Hermes-VPS</t>
        </is>
      </c>
      <c r="E5" s="8" t="inlineStr">
        <is>
          <t>Partial</t>
        </is>
      </c>
      <c r="F5" s="8" t="inlineStr">
        <is>
          <t>/home/hermes/.hermes/logs/complexity_router.log</t>
        </is>
      </c>
      <c r="G5" s="8" t="n">
        <v>3</v>
      </c>
      <c r="H5" s="8">
        <f>IF(E5="Done",G5,IF(E5="Partial",G5*0.5,0))</f>
        <v/>
      </c>
      <c r="I5" s="8" t="inlineStr">
        <is>
          <t>Observability</t>
        </is>
      </c>
      <c r="J5" s="8" t="inlineStr">
        <is>
          <t>Exists, nobody's watching it</t>
        </is>
      </c>
    </row>
    <row r="6">
      <c r="A6" s="8" t="inlineStr">
        <is>
          <t>OB-02</t>
        </is>
      </c>
      <c r="B6" s="8" t="inlineStr">
        <is>
          <t>Alerting: tunnel drop / local-model-down / minion-lost / Hermes crash</t>
        </is>
      </c>
      <c r="C6" s="8" t="inlineStr">
        <is>
          <t>No notification path to you exists for any of these today.</t>
        </is>
      </c>
      <c r="D6" s="8" t="inlineStr">
        <is>
          <t>Either / Bridge</t>
        </is>
      </c>
      <c r="E6" s="8" t="inlineStr">
        <is>
          <t>Not Started</t>
        </is>
      </c>
      <c r="F6" s="8" t="inlineStr"/>
      <c r="G6" s="8" t="n">
        <v>10</v>
      </c>
      <c r="H6" s="8">
        <f>IF(E6="Done",G6,IF(E6="Partial",G6*0.5,0))</f>
        <v/>
      </c>
      <c r="I6" s="8" t="inlineStr">
        <is>
          <t>Observability</t>
        </is>
      </c>
      <c r="J6" s="8" t="inlineStr"/>
    </row>
    <row r="7">
      <c r="A7" s="8" t="inlineStr">
        <is>
          <t>OB-03</t>
        </is>
      </c>
      <c r="B7" s="8" t="inlineStr">
        <is>
          <t>Unified health dashboard</t>
        </is>
      </c>
      <c r="C7" s="8" t="inlineStr">
        <is>
          <t>Local-vs-Codex indicator + tunnel status + VPS health, in one place.</t>
        </is>
      </c>
      <c r="D7" s="8" t="inlineStr">
        <is>
          <t>Hermes-VPS</t>
        </is>
      </c>
      <c r="E7" s="8" t="inlineStr">
        <is>
          <t>Not Started</t>
        </is>
      </c>
      <c r="F7" s="8" t="inlineStr"/>
      <c r="G7" s="8" t="n">
        <v>8</v>
      </c>
      <c r="H7" s="8">
        <f>IF(E7="Done",G7,IF(E7="Partial",G7*0.5,0))</f>
        <v/>
      </c>
      <c r="I7" s="8" t="inlineStr">
        <is>
          <t>Observability</t>
        </is>
      </c>
      <c r="J7" s="8" t="inlineStr"/>
    </row>
    <row r="8">
      <c r="A8" s="8" t="inlineStr">
        <is>
          <t>OB-04</t>
        </is>
      </c>
      <c r="B8" s="8" t="inlineStr">
        <is>
          <t>Beszel (or equivalent) coverage extended to hermes-vps</t>
        </is>
      </c>
      <c r="C8" s="8" t="inlineStr">
        <is>
          <t>Beszel watches home-lab boxes only; nothing watches the VPS from either side.</t>
        </is>
      </c>
      <c r="D8" s="8" t="inlineStr">
        <is>
          <t>Hermes-VPS</t>
        </is>
      </c>
      <c r="E8" s="8" t="inlineStr">
        <is>
          <t>Not Started</t>
        </is>
      </c>
      <c r="F8" s="8" t="inlineStr"/>
      <c r="G8" s="8" t="n">
        <v>5</v>
      </c>
      <c r="H8" s="8">
        <f>IF(E8="Done",G8,IF(E8="Partial",G8*0.5,0))</f>
        <v/>
      </c>
      <c r="I8" s="8" t="inlineStr">
        <is>
          <t>Observability</t>
        </is>
      </c>
      <c r="J8" s="8" t="inlineStr"/>
    </row>
    <row r="9">
      <c r="A9" s="8" t="inlineStr">
        <is>
          <t>OB-05</t>
        </is>
      </c>
      <c r="B9" s="8" t="inlineStr">
        <is>
          <t>Log retention/rotation policy</t>
        </is>
      </c>
      <c r="C9" s="8" t="inlineStr">
        <is>
          <t>No consistent policy across any Hermes-side log.</t>
        </is>
      </c>
      <c r="D9" s="8" t="inlineStr">
        <is>
          <t>Hermes-VPS</t>
        </is>
      </c>
      <c r="E9" s="8" t="inlineStr">
        <is>
          <t>Not Started</t>
        </is>
      </c>
      <c r="F9" s="8" t="inlineStr"/>
      <c r="G9" s="8" t="n">
        <v>3</v>
      </c>
      <c r="H9" s="8">
        <f>IF(E9="Done",G9,IF(E9="Partial",G9*0.5,0))</f>
        <v/>
      </c>
      <c r="I9" s="8" t="inlineStr">
        <is>
          <t>Observability</t>
        </is>
      </c>
      <c r="J9" s="8" t="inlineStr"/>
    </row>
    <row r="10">
      <c r="A10" s="8" t="inlineStr">
        <is>
          <t>OB-06</t>
        </is>
      </c>
      <c r="B10" s="8" t="inlineStr">
        <is>
          <t>Synthetic end-to-end health probe</t>
        </is>
      </c>
      <c r="C10" s="8" t="inlineStr">
        <is>
          <t>A scheduled test prompt that proves full aliveness, not just 'process is running.'</t>
        </is>
      </c>
      <c r="D10" s="8" t="inlineStr">
        <is>
          <t>Hermes-VPS</t>
        </is>
      </c>
      <c r="E10" s="8" t="inlineStr">
        <is>
          <t>Not Started</t>
        </is>
      </c>
      <c r="F10" s="8" t="inlineStr"/>
      <c r="G10" s="8" t="n">
        <v>5</v>
      </c>
      <c r="H10" s="8">
        <f>IF(E10="Done",G10,IF(E10="Partial",G10*0.5,0))</f>
        <v/>
      </c>
      <c r="I10" s="8" t="inlineStr">
        <is>
          <t>Observability</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Backup &amp; Disaster Recovery</t>
        </is>
      </c>
    </row>
    <row r="2" ht="16" customHeight="1">
      <c r="A2" s="2" t="inlineStr">
        <is>
          <t>If a box disappears tonight, what comes back, and how.</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BD-01</t>
        </is>
      </c>
      <c r="B5" s="8" t="inlineStr">
        <is>
          <t>Catalog export + git backup</t>
        </is>
      </c>
      <c r="C5" s="8" t="inlineStr">
        <is>
          <t>export_catalog_memory.py dumps hermes-tagged entities/relations to memory/catalog-export.json, committed.</t>
        </is>
      </c>
      <c r="D5" s="8" t="inlineStr">
        <is>
          <t>N/A (process/doc)</t>
        </is>
      </c>
      <c r="E5" s="8" t="inlineStr">
        <is>
          <t>Done</t>
        </is>
      </c>
      <c r="F5" s="8" t="inlineStr">
        <is>
          <t>scripts/export_catalog_memory.py</t>
        </is>
      </c>
      <c r="G5" s="8" t="n">
        <v>5</v>
      </c>
      <c r="H5" s="8">
        <f>IF(E5="Done",G5,IF(E5="Partial",G5*0.5,0))</f>
        <v/>
      </c>
      <c r="I5" s="8" t="inlineStr">
        <is>
          <t>Platform/SRE</t>
        </is>
      </c>
      <c r="J5" s="8" t="inlineStr"/>
    </row>
    <row r="6">
      <c r="A6" s="8" t="inlineStr">
        <is>
          <t>BD-02</t>
        </is>
      </c>
      <c r="B6" s="8" t="inlineStr">
        <is>
          <t>hermes-vps recurring backup</t>
        </is>
      </c>
      <c r="C6" s="8" t="inlineStr">
        <is>
          <t>Confirmed 2026-10-04 via the Vultr console: Auto Backups is Enabled on hermes-vps — a full-disk snapshot at the infrastructure level, broader than the earlier one-off app backup. Covers config.yaml/MEMORY.md/MCP venvs automatically.</t>
        </is>
      </c>
      <c r="D6" s="8" t="inlineStr">
        <is>
          <t>Hermes-VPS</t>
        </is>
      </c>
      <c r="E6" s="8" t="inlineStr">
        <is>
          <t>Done</t>
        </is>
      </c>
      <c r="F6" s="8" t="inlineStr">
        <is>
          <t>hermes-vps-vultr-auto-backups-enabled-2026-10-04</t>
        </is>
      </c>
      <c r="G6" s="8" t="n">
        <v>10</v>
      </c>
      <c r="H6" s="8">
        <f>IF(E6="Done",G6,IF(E6="Partial",G6*0.5,0))</f>
        <v/>
      </c>
      <c r="I6" s="8" t="inlineStr">
        <is>
          <t>Platform/SRE</t>
        </is>
      </c>
      <c r="J6" s="8" t="inlineStr">
        <is>
          <t>Worth confirming restore has actually been tested (BD-05) despite backup existing</t>
        </is>
      </c>
    </row>
    <row r="7">
      <c r="A7" s="8" t="inlineStr">
        <is>
          <t>BD-03</t>
        </is>
      </c>
      <c r="B7" s="8" t="inlineStr">
        <is>
          <t>WordPress volume backup strategy</t>
        </is>
      </c>
      <c r="C7" s="8" t="inlineStr">
        <is>
          <t>Undefined since 2026-07-25, still true.</t>
        </is>
      </c>
      <c r="D7" s="8" t="inlineStr">
        <is>
          <t>Home-Network</t>
        </is>
      </c>
      <c r="E7" s="8" t="inlineStr">
        <is>
          <t>Not Started</t>
        </is>
      </c>
      <c r="F7" s="8" t="inlineStr">
        <is>
          <t>server wordpress_data/db_data</t>
        </is>
      </c>
      <c r="G7" s="8" t="n">
        <v>5</v>
      </c>
      <c r="H7" s="8">
        <f>IF(E7="Done",G7,IF(E7="Partial",G7*0.5,0))</f>
        <v/>
      </c>
      <c r="I7" s="8" t="inlineStr">
        <is>
          <t>Platform/SRE</t>
        </is>
      </c>
      <c r="J7" s="8" t="inlineStr"/>
    </row>
    <row r="8">
      <c r="A8" s="8" t="inlineStr">
        <is>
          <t>BD-04</t>
        </is>
      </c>
      <c r="B8" s="8" t="inlineStr">
        <is>
          <t>Documented full-rebuild runbook</t>
        </is>
      </c>
      <c r="C8" s="8" t="inlineStr">
        <is>
          <t>Step-by-step recreate-from-nothing procedure for hermes-vps.</t>
        </is>
      </c>
      <c r="D8" s="8" t="inlineStr">
        <is>
          <t>N/A (process/doc)</t>
        </is>
      </c>
      <c r="E8" s="8" t="inlineStr">
        <is>
          <t>Not Started</t>
        </is>
      </c>
      <c r="F8" s="8" t="inlineStr"/>
      <c r="G8" s="8" t="n">
        <v>8</v>
      </c>
      <c r="H8" s="8">
        <f>IF(E8="Done",G8,IF(E8="Partial",G8*0.5,0))</f>
        <v/>
      </c>
      <c r="I8" s="8" t="inlineStr">
        <is>
          <t>Hermes Design Specialist</t>
        </is>
      </c>
      <c r="J8" s="8" t="inlineStr"/>
    </row>
    <row r="9">
      <c r="A9" s="8" t="inlineStr">
        <is>
          <t>BD-05</t>
        </is>
      </c>
      <c r="B9" s="8" t="inlineStr">
        <is>
          <t>Backup restore actually tested</t>
        </is>
      </c>
      <c r="C9" s="8" t="inlineStr">
        <is>
          <t>A backup that's never been restored is a hypothesis, not a backup.</t>
        </is>
      </c>
      <c r="D9" s="8" t="inlineStr">
        <is>
          <t>N/A (process/doc)</t>
        </is>
      </c>
      <c r="E9" s="8" t="inlineStr">
        <is>
          <t>Not Started</t>
        </is>
      </c>
      <c r="F9" s="8" t="inlineStr"/>
      <c r="G9" s="8" t="n">
        <v>8</v>
      </c>
      <c r="H9" s="8">
        <f>IF(E9="Done",G9,IF(E9="Partial",G9*0.5,0))</f>
        <v/>
      </c>
      <c r="I9" s="8" t="inlineStr">
        <is>
          <t>Platform/SRE</t>
        </is>
      </c>
      <c r="J9" s="8" t="inlineStr"/>
    </row>
    <row r="10">
      <c r="A10" s="8" t="inlineStr">
        <is>
          <t>BD-06</t>
        </is>
      </c>
      <c r="B10" s="8" t="inlineStr">
        <is>
          <t>Vault/secrets table backup</t>
        </is>
      </c>
      <c r="C10" s="8" t="inlineStr">
        <is>
          <t>Separate from the general catalog export — this is the crown jewel and deserves its own explicit backup story.</t>
        </is>
      </c>
      <c r="D10" s="8" t="inlineStr">
        <is>
          <t>Hermes-VPS</t>
        </is>
      </c>
      <c r="E10" s="8" t="inlineStr">
        <is>
          <t>Not Started</t>
        </is>
      </c>
      <c r="F10" s="8" t="inlineStr"/>
      <c r="G10" s="8" t="n">
        <v>8</v>
      </c>
      <c r="H10" s="8">
        <f>IF(E10="Done",G10,IF(E10="Partial",G10*0.5,0))</f>
        <v/>
      </c>
      <c r="I10" s="8" t="inlineStr">
        <is>
          <t>Secrets Custodian</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Cost &amp; Subscriptions</t>
        </is>
      </c>
    </row>
    <row r="2" ht="16" customHeight="1">
      <c r="A2" s="2" t="inlineStr">
        <is>
          <t>The whole point: one paid tier instead of two.</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CS-01</t>
        </is>
      </c>
      <c r="B5" s="8" t="inlineStr">
        <is>
          <t>ChatGPT Plus linked, Codex working</t>
        </is>
      </c>
      <c r="C5" s="8" t="inlineStr">
        <is>
          <t>$20/mo, already doing real work.</t>
        </is>
      </c>
      <c r="D5" s="8" t="inlineStr">
        <is>
          <t>Hermes-VPS</t>
        </is>
      </c>
      <c r="E5" s="8" t="inlineStr">
        <is>
          <t>Done</t>
        </is>
      </c>
      <c r="F5" s="8" t="inlineStr"/>
      <c r="G5" s="8" t="n">
        <v>3</v>
      </c>
      <c r="H5" s="8">
        <f>IF(E5="Done",G5,IF(E5="Partial",G5*0.5,0))</f>
        <v/>
      </c>
      <c r="I5" s="8" t="inlineStr">
        <is>
          <t>Product Owner (Mark)</t>
        </is>
      </c>
      <c r="J5" s="8" t="inlineStr"/>
    </row>
    <row r="6">
      <c r="A6" s="8" t="inlineStr">
        <is>
          <t>CS-02</t>
        </is>
      </c>
      <c r="B6" s="8" t="inlineStr">
        <is>
          <t>Vultr VPS + backups cost tracked</t>
        </is>
      </c>
      <c r="C6" s="8" t="inlineStr">
        <is>
          <t>vhp-2c-4gb-amd @ $24/mo + daily-snapshot backups at $4.80/mo (Vultr's standard 20%-of-instance add-on, not $4.80/day) = $28.80/mo total.</t>
        </is>
      </c>
      <c r="D6" s="8" t="inlineStr">
        <is>
          <t>Hermes-VPS</t>
        </is>
      </c>
      <c r="E6" s="8" t="inlineStr">
        <is>
          <t>Done</t>
        </is>
      </c>
      <c r="F6" s="8" t="inlineStr">
        <is>
          <t>hermes-vps-provider-selected-vultr-2026-09-24</t>
        </is>
      </c>
      <c r="G6" s="8" t="n">
        <v>2</v>
      </c>
      <c r="H6" s="8">
        <f>IF(E6="Done",G6,IF(E6="Partial",G6*0.5,0))</f>
        <v/>
      </c>
      <c r="I6" s="8" t="inlineStr">
        <is>
          <t>Product Owner (Mark)</t>
        </is>
      </c>
      <c r="J6" s="8" t="inlineStr"/>
    </row>
    <row r="7">
      <c r="A7" s="8" t="inlineStr">
        <is>
          <t>CS-03</t>
        </is>
      </c>
      <c r="B7" s="8" t="inlineStr">
        <is>
          <t>Claude Pro canceled</t>
        </is>
      </c>
      <c r="C7" s="8" t="inlineStr">
        <is>
          <t>Intentionally last — this is the actual finish line of the whole project (G9).</t>
        </is>
      </c>
      <c r="D7" s="8" t="inlineStr">
        <is>
          <t>N/A (process/doc)</t>
        </is>
      </c>
      <c r="E7" s="8" t="inlineStr">
        <is>
          <t>Not Started</t>
        </is>
      </c>
      <c r="F7" s="8" t="inlineStr"/>
      <c r="G7" s="8" t="n">
        <v>10</v>
      </c>
      <c r="H7" s="8">
        <f>IF(E7="Done",G7,IF(E7="Partial",G7*0.5,0))</f>
        <v/>
      </c>
      <c r="I7" s="8" t="inlineStr">
        <is>
          <t>Product Owner (Mark)</t>
        </is>
      </c>
      <c r="J7" s="8" t="inlineStr">
        <is>
          <t>Only cancel once the rest of this workbook is actually green</t>
        </is>
      </c>
    </row>
    <row r="8">
      <c r="A8" s="8" t="inlineStr">
        <is>
          <t>CS-04</t>
        </is>
      </c>
      <c r="B8" s="8" t="inlineStr">
        <is>
          <t>Modal cost visibility</t>
        </is>
      </c>
      <c r="C8" s="8" t="inlineStr">
        <is>
          <t>Pay-per-second, $0 idle — confirm no surprise charges are actually possible, not just assumed.</t>
        </is>
      </c>
      <c r="D8" s="8" t="inlineStr">
        <is>
          <t>Hermes-VPS</t>
        </is>
      </c>
      <c r="E8" s="8" t="inlineStr">
        <is>
          <t>Not Started</t>
        </is>
      </c>
      <c r="F8" s="8" t="inlineStr"/>
      <c r="G8" s="8" t="n">
        <v>3</v>
      </c>
      <c r="H8" s="8">
        <f>IF(E8="Done",G8,IF(E8="Partial",G8*0.5,0))</f>
        <v/>
      </c>
      <c r="I8" s="8" t="inlineStr">
        <is>
          <t>Product Owner (Mark)</t>
        </is>
      </c>
      <c r="J8" s="8" t="inlineStr"/>
    </row>
    <row r="9">
      <c r="A9" s="8" t="inlineStr">
        <is>
          <t>CS-05</t>
        </is>
      </c>
      <c r="B9" s="8" t="inlineStr">
        <is>
          <t>Total monthly Hermes cost rollup</t>
        </is>
      </c>
      <c r="C9" s="8" t="inlineStr">
        <is>
          <t>One number to compare against the 'two subscriptions' baseline being replaced.</t>
        </is>
      </c>
      <c r="D9" s="8" t="inlineStr">
        <is>
          <t>N/A (process/doc)</t>
        </is>
      </c>
      <c r="E9" s="8" t="inlineStr">
        <is>
          <t>Not Started</t>
        </is>
      </c>
      <c r="F9" s="8" t="inlineStr"/>
      <c r="G9" s="8" t="n">
        <v>3</v>
      </c>
      <c r="H9" s="8">
        <f>IF(E9="Done",G9,IF(E9="Partial",G9*0.5,0))</f>
        <v/>
      </c>
      <c r="I9" s="8" t="inlineStr">
        <is>
          <t>Product Owner (Mark)</t>
        </is>
      </c>
      <c r="J9" s="8" t="inlineStr"/>
    </row>
    <row r="10">
      <c r="A10" s="8" t="inlineStr">
        <is>
          <t>CS-06</t>
        </is>
      </c>
      <c r="B10" s="8" t="inlineStr">
        <is>
          <t>Brave Search free-tier usage monitored</t>
        </is>
      </c>
      <c r="C10" s="8" t="inlineStr">
        <is>
          <t>2,000 queries/mo free tier — nothing watches for approaching that ceiling.</t>
        </is>
      </c>
      <c r="D10" s="8" t="inlineStr">
        <is>
          <t>Hermes-VPS</t>
        </is>
      </c>
      <c r="E10" s="8" t="inlineStr">
        <is>
          <t>Not Started</t>
        </is>
      </c>
      <c r="F10" s="8" t="inlineStr"/>
      <c r="G10" s="8" t="n">
        <v>2</v>
      </c>
      <c r="H10" s="8">
        <f>IF(E10="Done",G10,IF(E10="Partial",G10*0.5,0))</f>
        <v/>
      </c>
      <c r="I10" s="8" t="inlineStr">
        <is>
          <t>Observability</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tabColor rgb="000E7C7B"/>
    <outlinePr summaryBelow="1" summaryRight="1"/>
    <pageSetUpPr/>
  </sheetPr>
  <dimension ref="A1:J4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Security &amp; Hardening</t>
        </is>
      </c>
    </row>
    <row r="2" ht="16" customHeight="1">
      <c r="A2" s="2" t="inlineStr">
        <is>
          <t>Everything here is a closeable gap, not a design debate.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SH-01</t>
        </is>
      </c>
      <c r="B5" s="8" t="inlineStr">
        <is>
          <t>VPS firewall active</t>
        </is>
      </c>
      <c r="C5" s="8" t="inlineStr">
        <is>
          <t>Duplicate reference to CR-04 — owned here for remediation tracking.</t>
        </is>
      </c>
      <c r="D5" s="8" t="inlineStr">
        <is>
          <t>Hermes-VPS</t>
        </is>
      </c>
      <c r="E5" s="8" t="inlineStr">
        <is>
          <t>Done</t>
        </is>
      </c>
      <c r="F5" s="8" t="inlineStr"/>
      <c r="G5" s="8" t="n">
        <v>3</v>
      </c>
      <c r="H5" s="8">
        <f>IF(E5="Done",G5,IF(E5="Partial",G5*0.5,0))</f>
        <v/>
      </c>
      <c r="I5" s="8" t="inlineStr">
        <is>
          <t>Security Reviewer</t>
        </is>
      </c>
      <c r="J5" s="8" t="inlineStr"/>
    </row>
    <row r="6">
      <c r="A6" s="8" t="inlineStr">
        <is>
          <t>SH-02</t>
        </is>
      </c>
      <c r="B6" s="8" t="inlineStr">
        <is>
          <t>Gateway arbitrary-shell exposure closed</t>
        </is>
      </c>
      <c r="C6" s="8" t="inlineStr">
        <is>
          <t>Same underlying item as 06_Home_Network_Boundary HN-05 — cross-referenced here as Security's responsibility to actually close; scored at HN-05, not twice.</t>
        </is>
      </c>
      <c r="D6" s="8" t="inlineStr">
        <is>
          <t>Hermes-VPS</t>
        </is>
      </c>
      <c r="E6" s="8" t="inlineStr">
        <is>
          <t>Not Started</t>
        </is>
      </c>
      <c r="F6" s="8" t="inlineStr"/>
      <c r="G6" s="8" t="n">
        <v>0</v>
      </c>
      <c r="H6" s="8">
        <f>IF(E6="Done",G6,IF(E6="Partial",G6*0.5,0))</f>
        <v/>
      </c>
      <c r="I6" s="8" t="inlineStr">
        <is>
          <t>Security Reviewer</t>
        </is>
      </c>
      <c r="J6" s="8" t="inlineStr">
        <is>
          <t>Cross-reference of HN-05, not separately weighted</t>
        </is>
      </c>
    </row>
    <row r="7">
      <c r="A7" s="8" t="inlineStr">
        <is>
          <t>SH-03</t>
        </is>
      </c>
      <c r="B7" s="8" t="inlineStr">
        <is>
          <t>/Dockers plaintext secrets exposure remediated</t>
        </is>
      </c>
      <c r="C7" s="8" t="inlineStr">
        <is>
          <t>Same underlying item as 05_Secrets_Vault SV-08; cross-referenced here, scored there.</t>
        </is>
      </c>
      <c r="D7" s="8" t="inlineStr">
        <is>
          <t>Home-Network</t>
        </is>
      </c>
      <c r="E7" s="8" t="inlineStr">
        <is>
          <t>Not Started</t>
        </is>
      </c>
      <c r="F7" s="8" t="inlineStr"/>
      <c r="G7" s="8" t="n">
        <v>0</v>
      </c>
      <c r="H7" s="8">
        <f>IF(E7="Done",G7,IF(E7="Partial",G7*0.5,0))</f>
        <v/>
      </c>
      <c r="I7" s="8" t="inlineStr">
        <is>
          <t>Security Reviewer</t>
        </is>
      </c>
      <c r="J7" s="8" t="inlineStr">
        <is>
          <t>Cross-reference of SV-08, not separately weighted</t>
        </is>
      </c>
    </row>
    <row r="8">
      <c r="A8" s="8" t="inlineStr">
        <is>
          <t>SH-04</t>
        </is>
      </c>
      <c r="B8" s="8" t="inlineStr">
        <is>
          <t>Least-privilege review, all MCP credentials</t>
        </is>
      </c>
      <c r="C8" s="8" t="inlineStr">
        <is>
          <t>Same item as TM-11.</t>
        </is>
      </c>
      <c r="D8" s="8" t="inlineStr">
        <is>
          <t>Either / Bridge</t>
        </is>
      </c>
      <c r="E8" s="8" t="inlineStr">
        <is>
          <t>Partial</t>
        </is>
      </c>
      <c r="F8" s="8" t="inlineStr"/>
      <c r="G8" s="8" t="n">
        <v>5</v>
      </c>
      <c r="H8" s="8">
        <f>IF(E8="Done",G8,IF(E8="Partial",G8*0.5,0))</f>
        <v/>
      </c>
      <c r="I8" s="8" t="inlineStr">
        <is>
          <t>Security Reviewer</t>
        </is>
      </c>
      <c r="J8" s="8" t="inlineStr"/>
    </row>
    <row r="9">
      <c r="A9" s="8" t="inlineStr">
        <is>
          <t>SH-05</t>
        </is>
      </c>
      <c r="B9" s="8" t="inlineStr">
        <is>
          <t>Tunnel ACL minimum-exposure audit</t>
        </is>
      </c>
      <c r="C9" s="8" t="inlineStr">
        <is>
          <t>Same item as HN-07.</t>
        </is>
      </c>
      <c r="D9" s="8" t="inlineStr">
        <is>
          <t>Home-Network</t>
        </is>
      </c>
      <c r="E9" s="8" t="inlineStr">
        <is>
          <t>Not Started</t>
        </is>
      </c>
      <c r="F9" s="8" t="inlineStr"/>
      <c r="G9" s="8" t="n">
        <v>5</v>
      </c>
      <c r="H9" s="8">
        <f>IF(E9="Done",G9,IF(E9="Partial",G9*0.5,0))</f>
        <v/>
      </c>
      <c r="I9" s="8" t="inlineStr">
        <is>
          <t>Security Reviewer</t>
        </is>
      </c>
      <c r="J9" s="8" t="inlineStr"/>
    </row>
    <row r="10">
      <c r="A10" s="8" t="inlineStr">
        <is>
          <t>SH-06</t>
        </is>
      </c>
      <c r="B10" s="8" t="inlineStr">
        <is>
          <t>Web UI auth mechanism security review</t>
        </is>
      </c>
      <c r="C10" s="8" t="inlineStr">
        <is>
          <t>Basic Auth vs. app-login — security implications of each never compared.</t>
        </is>
      </c>
      <c r="D10" s="8" t="inlineStr">
        <is>
          <t>Hermes-VPS</t>
        </is>
      </c>
      <c r="E10" s="8" t="inlineStr">
        <is>
          <t>Not Started</t>
        </is>
      </c>
      <c r="F10" s="8" t="inlineStr"/>
      <c r="G10" s="8" t="n">
        <v>5</v>
      </c>
      <c r="H10" s="8">
        <f>IF(E10="Done",G10,IF(E10="Partial",G10*0.5,0))</f>
        <v/>
      </c>
      <c r="I10" s="8" t="inlineStr">
        <is>
          <t>Security Reviewer</t>
        </is>
      </c>
      <c r="J10" s="8" t="inlineStr"/>
    </row>
    <row r="11">
      <c r="A11" s="8" t="inlineStr">
        <is>
          <t>SH-07</t>
        </is>
      </c>
      <c r="B11" s="8" t="inlineStr">
        <is>
          <t>Dependency/CVE awareness process</t>
        </is>
      </c>
      <c r="C11" s="8" t="inlineStr">
        <is>
          <t>hermes-agent, FastMCP, and MCP server deps have no update-for-CVE process.</t>
        </is>
      </c>
      <c r="D11" s="8" t="inlineStr">
        <is>
          <t>Either / Bridge</t>
        </is>
      </c>
      <c r="E11" s="8" t="inlineStr">
        <is>
          <t>Not Started</t>
        </is>
      </c>
      <c r="F11" s="8" t="inlineStr"/>
      <c r="G11" s="8" t="n">
        <v>5</v>
      </c>
      <c r="H11" s="8">
        <f>IF(E11="Done",G11,IF(E11="Partial",G11*0.5,0))</f>
        <v/>
      </c>
      <c r="I11" s="8" t="inlineStr">
        <is>
          <t>Security Reviewer</t>
        </is>
      </c>
      <c r="J11" s="8" t="inlineStr"/>
    </row>
    <row r="12">
      <c r="A12" s="8" t="inlineStr">
        <is>
          <t>SH-08</t>
        </is>
      </c>
      <c r="B12" s="8" t="inlineStr">
        <is>
          <t>Credential-leak incident response notes</t>
        </is>
      </c>
      <c r="C12" s="8" t="inlineStr">
        <is>
          <t>Given the /Dockers exposure already exists, what's the actual response if one of those leaks gets used?</t>
        </is>
      </c>
      <c r="D12" s="8" t="inlineStr">
        <is>
          <t>N/A (process/doc)</t>
        </is>
      </c>
      <c r="E12" s="8" t="inlineStr">
        <is>
          <t>Not Started</t>
        </is>
      </c>
      <c r="F12" s="8" t="inlineStr"/>
      <c r="G12" s="8" t="n">
        <v>5</v>
      </c>
      <c r="H12" s="8">
        <f>IF(E12="Done",G12,IF(E12="Partial",G12*0.5,0))</f>
        <v/>
      </c>
      <c r="I12" s="8" t="inlineStr">
        <is>
          <t>Security Reviewer</t>
        </is>
      </c>
      <c r="J12" s="8" t="inlineStr"/>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4">
      <c r="B44" s="20" t="inlineStr">
        <is>
          <t>TAB TOTAL (includes blank headroom rows above for future additions)</t>
        </is>
      </c>
      <c r="G44" s="20">
        <f>SUM(G5:G42)</f>
        <v/>
      </c>
      <c r="H44" s="20">
        <f>SUM(H5:H42)</f>
        <v/>
      </c>
      <c r="I44" s="20">
        <f>IFERROR(TEXT(H44/G44,"0%")&amp;" complete","0% complete")</f>
        <v/>
      </c>
    </row>
  </sheetData>
  <mergeCells count="2">
    <mergeCell ref="A1:J1"/>
    <mergeCell ref="A2:J2"/>
  </mergeCells>
  <conditionalFormatting sqref="E5:E42">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Governance &amp; Change Management</t>
        </is>
      </c>
    </row>
    <row r="2" ht="16" customHeight="1">
      <c r="A2" s="2" t="inlineStr">
        <is>
          <t>How this whole system stays coherent as it grows, instead of drifting back into a mixed environment.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GV-01</t>
        </is>
      </c>
      <c r="B5" s="8" t="inlineStr">
        <is>
          <t>Playbook: promote a home capability to a Hermes tool</t>
        </is>
      </c>
      <c r="C5" s="8" t="inlineStr">
        <is>
          <t>Same item as TM-10 — owned here as the actual governance process, not just a tooling note.</t>
        </is>
      </c>
      <c r="D5" s="8" t="inlineStr">
        <is>
          <t>N/A (process/doc)</t>
        </is>
      </c>
      <c r="E5" s="8" t="inlineStr">
        <is>
          <t>Not Started</t>
        </is>
      </c>
      <c r="F5" s="8" t="inlineStr"/>
      <c r="G5" s="8" t="n">
        <v>5</v>
      </c>
      <c r="H5" s="8">
        <f>IF(E5="Done",G5,IF(E5="Partial",G5*0.5,0))</f>
        <v/>
      </c>
      <c r="I5" s="8" t="inlineStr">
        <is>
          <t>Hermes Design Specialist</t>
        </is>
      </c>
      <c r="J5" s="8" t="inlineStr"/>
    </row>
    <row r="6">
      <c r="A6" s="8" t="inlineStr">
        <is>
          <t>GV-02</t>
        </is>
      </c>
      <c r="B6" s="8" t="inlineStr">
        <is>
          <t>Claude-Code-as-bootstrap sunset plan</t>
        </is>
      </c>
      <c r="C6" s="8" t="inlineStr">
        <is>
          <t>CLAUDE.md already states the setup role should eventually move into Hermes itself — no plan yet for when/how that actually happens.</t>
        </is>
      </c>
      <c r="D6" s="8" t="inlineStr">
        <is>
          <t>N/A (process/doc)</t>
        </is>
      </c>
      <c r="E6" s="8" t="inlineStr">
        <is>
          <t>Not Started</t>
        </is>
      </c>
      <c r="F6" s="8" t="inlineStr"/>
      <c r="G6" s="8" t="n">
        <v>8</v>
      </c>
      <c r="H6" s="8">
        <f>IF(E6="Done",G6,IF(E6="Partial",G6*0.5,0))</f>
        <v/>
      </c>
      <c r="I6" s="8" t="inlineStr">
        <is>
          <t>Hermes Design Specialist</t>
        </is>
      </c>
      <c r="J6" s="8" t="inlineStr">
        <is>
          <t>See 14_Claude_Code_Parity for the concrete per-capability breakdown of what this actually requires</t>
        </is>
      </c>
    </row>
    <row r="7">
      <c r="A7" s="8" t="inlineStr">
        <is>
          <t>GV-03</t>
        </is>
      </c>
      <c r="B7" s="8" t="inlineStr">
        <is>
          <t>Change log for hermes-vps config.yaml edits</t>
        </is>
      </c>
      <c r="C7" s="8" t="inlineStr">
        <is>
          <t>No approval/record process for who changed what on the live config.</t>
        </is>
      </c>
      <c r="D7" s="8" t="inlineStr">
        <is>
          <t>Hermes-VPS</t>
        </is>
      </c>
      <c r="E7" s="8" t="inlineStr">
        <is>
          <t>Not Started</t>
        </is>
      </c>
      <c r="F7" s="8" t="inlineStr"/>
      <c r="G7" s="8" t="n">
        <v>5</v>
      </c>
      <c r="H7" s="8">
        <f>IF(E7="Done",G7,IF(E7="Partial",G7*0.5,0))</f>
        <v/>
      </c>
      <c r="I7" s="8" t="inlineStr">
        <is>
          <t>Hermes Design Specialist</t>
        </is>
      </c>
      <c r="J7" s="8" t="inlineStr"/>
    </row>
    <row r="8">
      <c r="A8" s="8" t="inlineStr">
        <is>
          <t>GV-04</t>
        </is>
      </c>
      <c r="B8" s="8" t="inlineStr">
        <is>
          <t>Role definitions actively assigned per feature</t>
        </is>
      </c>
      <c r="C8" s="8" t="inlineStr">
        <is>
          <t>This workbook's own Roles tab needs to actually get used, not just exist.</t>
        </is>
      </c>
      <c r="D8" s="8" t="inlineStr">
        <is>
          <t>N/A (process/doc)</t>
        </is>
      </c>
      <c r="E8" s="8" t="inlineStr">
        <is>
          <t>Not Started</t>
        </is>
      </c>
      <c r="F8" s="8" t="inlineStr"/>
      <c r="G8" s="8" t="n">
        <v>3</v>
      </c>
      <c r="H8" s="8">
        <f>IF(E8="Done",G8,IF(E8="Partial",G8*0.5,0))</f>
        <v/>
      </c>
      <c r="I8" s="8" t="inlineStr">
        <is>
          <t>Hermes Design Specialist</t>
        </is>
      </c>
      <c r="J8" s="8" t="inlineStr"/>
    </row>
    <row r="9">
      <c r="A9" s="8" t="inlineStr">
        <is>
          <t>GV-05</t>
        </is>
      </c>
      <c r="B9" s="8" t="inlineStr">
        <is>
          <t>Hermes Way standards re-checked on every new capability</t>
        </is>
      </c>
      <c r="C9" s="8" t="inlineStr">
        <is>
          <t>The recursive-completeness habit that built this workbook needs to repeat each time something new is added, not happen once.</t>
        </is>
      </c>
      <c r="D9" s="8" t="inlineStr">
        <is>
          <t>N/A (process/doc)</t>
        </is>
      </c>
      <c r="E9" s="8" t="inlineStr">
        <is>
          <t>Not Started</t>
        </is>
      </c>
      <c r="F9" s="8" t="inlineStr"/>
      <c r="G9" s="8" t="n">
        <v>5</v>
      </c>
      <c r="H9" s="8">
        <f>IF(E9="Done",G9,IF(E9="Partial",G9*0.5,0))</f>
        <v/>
      </c>
      <c r="I9" s="8" t="inlineStr">
        <is>
          <t>Hermes Design Specialist</t>
        </is>
      </c>
      <c r="J9" s="8" t="inlineStr"/>
    </row>
    <row r="10">
      <c r="A10" s="8" t="inlineStr">
        <is>
          <t>GV-06</t>
        </is>
      </c>
      <c r="B10" s="8" t="inlineStr">
        <is>
          <t>Catalog &lt;-&gt; workbook cross-linked</t>
        </is>
      </c>
      <c r="C10" s="8" t="inlineStr">
        <is>
          <t>Avoid this spreadsheet and the catalog silently becoming two different sources of truth.</t>
        </is>
      </c>
      <c r="D10" s="8" t="inlineStr">
        <is>
          <t>N/A (process/doc)</t>
        </is>
      </c>
      <c r="E10" s="8" t="inlineStr">
        <is>
          <t>Not Started</t>
        </is>
      </c>
      <c r="F10" s="8" t="inlineStr"/>
      <c r="G10" s="8" t="n">
        <v>5</v>
      </c>
      <c r="H10" s="8">
        <f>IF(E10="Done",G10,IF(E10="Partial",G10*0.5,0))</f>
        <v/>
      </c>
      <c r="I10" s="8" t="inlineStr">
        <is>
          <t>Hermes Design Specialist</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Claude Code → Hermes Parity</t>
        </is>
      </c>
    </row>
    <row r="2" ht="16" customHeight="1">
      <c r="A2" s="2" t="inlineStr">
        <is>
          <t>The replacement lens: for everything Claude Code does on this project today, what Hermes-native capability would need to do it instead — so Claude Code can actually be retired, not just described as temporary.</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CCP-01</t>
        </is>
      </c>
      <c r="B5" s="8" t="inlineStr">
        <is>
          <t>Catalog read/write parity</t>
        </is>
      </c>
      <c r="C5" s="8" t="inlineStr">
        <is>
          <t>Claude Code drives catalog_mcp.py by hand each session. The tool itself already runs on hermes-vps (TM-01) — the gap is usage, not capability: Hermes isn't the one calling it as part of its own memory loop yet.</t>
        </is>
      </c>
      <c r="D5" s="8" t="inlineStr">
        <is>
          <t>Hermes-VPS</t>
        </is>
      </c>
      <c r="E5" s="8" t="inlineStr">
        <is>
          <t>Partial</t>
        </is>
      </c>
      <c r="F5" s="8" t="inlineStr">
        <is>
          <t>TM-01</t>
        </is>
      </c>
      <c r="G5" s="8" t="n">
        <v>5</v>
      </c>
      <c r="H5" s="8">
        <f>IF(E5="Done",G5,IF(E5="Partial",G5*0.5,0))</f>
        <v/>
      </c>
      <c r="I5" s="8" t="inlineStr">
        <is>
          <t>Hermes Design Specialist</t>
        </is>
      </c>
      <c r="J5" s="8" t="inlineStr">
        <is>
          <t>Tool parity exists; usage parity doesn't</t>
        </is>
      </c>
    </row>
    <row r="6">
      <c r="A6" s="8" t="inlineStr">
        <is>
          <t>CCP-02</t>
        </is>
      </c>
      <c r="B6" s="8" t="inlineStr">
        <is>
          <t>Vault secret access parity</t>
        </is>
      </c>
      <c r="C6" s="8" t="inlineStr">
        <is>
          <t>Same gap as CCP-01, blocked further by the 4x vault_mcp.py duplication.</t>
        </is>
      </c>
      <c r="D6" s="8" t="inlineStr">
        <is>
          <t>Hermes-VPS</t>
        </is>
      </c>
      <c r="E6" s="8" t="inlineStr">
        <is>
          <t>Not Started</t>
        </is>
      </c>
      <c r="F6" s="8" t="inlineStr">
        <is>
          <t>TM-06 / SV-12</t>
        </is>
      </c>
      <c r="G6" s="8" t="n">
        <v>5</v>
      </c>
      <c r="H6" s="8">
        <f>IF(E6="Done",G6,IF(E6="Partial",G6*0.5,0))</f>
        <v/>
      </c>
      <c r="I6" s="8" t="inlineStr">
        <is>
          <t>Secrets Custodian</t>
        </is>
      </c>
      <c r="J6" s="8" t="inlineStr">
        <is>
          <t>Consolidate first, then shift usage to Hermes</t>
        </is>
      </c>
    </row>
    <row r="7">
      <c r="A7" s="8" t="inlineStr">
        <is>
          <t>CCP-03</t>
        </is>
      </c>
      <c r="B7" s="8" t="inlineStr">
        <is>
          <t>Salt/infra command parity</t>
        </is>
      </c>
      <c r="C7" s="8" t="inlineStr">
        <is>
          <t>infra_mcp.py already registered on hermes-vps (TM-04) — same usage-parity gap as CCP-01.</t>
        </is>
      </c>
      <c r="D7" s="8" t="inlineStr">
        <is>
          <t>Hermes-VPS</t>
        </is>
      </c>
      <c r="E7" s="8" t="inlineStr">
        <is>
          <t>Partial</t>
        </is>
      </c>
      <c r="F7" s="8" t="inlineStr">
        <is>
          <t>TM-04</t>
        </is>
      </c>
      <c r="G7" s="8" t="n">
        <v>5</v>
      </c>
      <c r="H7" s="8">
        <f>IF(E7="Done",G7,IF(E7="Partial",G7*0.5,0))</f>
        <v/>
      </c>
      <c r="I7" s="8" t="inlineStr">
        <is>
          <t>Home-Network Liaison</t>
        </is>
      </c>
      <c r="J7" s="8" t="inlineStr"/>
    </row>
    <row r="8">
      <c r="A8" s="8" t="inlineStr">
        <is>
          <t>CCP-04</t>
        </is>
      </c>
      <c r="B8" s="8" t="inlineStr">
        <is>
          <t>Git repository upkeep (commit/push)</t>
        </is>
      </c>
      <c r="C8" s="8" t="inlineStr">
        <is>
          <t>Claude Code commits/pushes to this repo via direct shell git commands on this laptop. No Hermes-native equivalent exists at all — Hermes would need a git/GitHub-aware tool (wrapping gh/git with its own deploy key) reachable from hermes-vps.</t>
        </is>
      </c>
      <c r="D8" s="8" t="inlineStr">
        <is>
          <t>Either / Bridge</t>
        </is>
      </c>
      <c r="E8" s="8" t="inlineStr">
        <is>
          <t>Not Started</t>
        </is>
      </c>
      <c r="F8" s="8" t="inlineStr"/>
      <c r="G8" s="8" t="n">
        <v>8</v>
      </c>
      <c r="H8" s="8">
        <f>IF(E8="Done",G8,IF(E8="Partial",G8*0.5,0))</f>
        <v/>
      </c>
      <c r="I8" s="8" t="inlineStr">
        <is>
          <t>Hermes Design Specialist</t>
        </is>
      </c>
      <c r="J8" s="8" t="inlineStr">
        <is>
          <t>Real gap, not just a usage shift — nothing lets Hermes itself touch this repo today</t>
        </is>
      </c>
    </row>
    <row r="9">
      <c r="A9" s="8" t="inlineStr">
        <is>
          <t>CCP-05</t>
        </is>
      </c>
      <c r="B9" s="8" t="inlineStr">
        <is>
          <t>Repo file editing / code changes</t>
        </is>
      </c>
      <c r="C9" s="8" t="inlineStr">
        <is>
          <t>Claude Code edits this project's files directly via local tools. Hermes-native equivalent would be one of its sandboxed execution backends (local/Docker/SSH/Modal) pointed at the repo.</t>
        </is>
      </c>
      <c r="D9" s="8" t="inlineStr">
        <is>
          <t>Either / Bridge</t>
        </is>
      </c>
      <c r="E9" s="8" t="inlineStr">
        <is>
          <t>Not Started</t>
        </is>
      </c>
      <c r="F9" s="8" t="inlineStr"/>
      <c r="G9" s="8" t="n">
        <v>8</v>
      </c>
      <c r="H9" s="8">
        <f>IF(E9="Done",G9,IF(E9="Partial",G9*0.5,0))</f>
        <v/>
      </c>
      <c r="I9" s="8" t="inlineStr">
        <is>
          <t>Hermes Design Specialist</t>
        </is>
      </c>
      <c r="J9" s="8" t="inlineStr"/>
    </row>
    <row r="10">
      <c r="A10" s="8" t="inlineStr">
        <is>
          <t>CCP-06</t>
        </is>
      </c>
      <c r="B10" s="8" t="inlineStr">
        <is>
          <t>Document / spreadsheet generation</t>
        </is>
      </c>
      <c r="C10" s="8" t="inlineStr">
        <is>
          <t>This very workbook was built with openpyxl in a local venv. No Hermes-native equivalent — would need a scripting execution backend (Modal job or Dokploy-hosted script) capable of the same generation step.</t>
        </is>
      </c>
      <c r="D10" s="8" t="inlineStr">
        <is>
          <t>Hermes-VPS</t>
        </is>
      </c>
      <c r="E10" s="8" t="inlineStr">
        <is>
          <t>Not Started</t>
        </is>
      </c>
      <c r="F10" s="8" t="inlineStr"/>
      <c r="G10" s="8" t="n">
        <v>5</v>
      </c>
      <c r="H10" s="8">
        <f>IF(E10="Done",G10,IF(E10="Partial",G10*0.5,0))</f>
        <v/>
      </c>
      <c r="I10" s="8" t="inlineStr">
        <is>
          <t>Platform/SRE</t>
        </is>
      </c>
      <c r="J10" s="8" t="inlineStr"/>
    </row>
    <row r="11">
      <c r="A11" s="8" t="inlineStr">
        <is>
          <t>CCP-07</t>
        </is>
      </c>
      <c r="B11" s="8" t="inlineStr">
        <is>
          <t>Shareable web output</t>
        </is>
      </c>
      <c r="C11" s="8" t="inlineStr">
        <is>
          <t>Claude Code used Claude.ai's own Artifact tool for the earlier status page. The direct Hermes-native analogue is already tracked as CR-08 (Hermes-hosted web presence) — this row just names the Claude-Code-specific trigger for closing it.</t>
        </is>
      </c>
      <c r="D11" s="8" t="inlineStr">
        <is>
          <t>Hermes-VPS</t>
        </is>
      </c>
      <c r="E11" s="8" t="inlineStr">
        <is>
          <t>Not Started</t>
        </is>
      </c>
      <c r="F11" s="8" t="inlineStr">
        <is>
          <t>CR-08</t>
        </is>
      </c>
      <c r="G11" s="8" t="n">
        <v>3</v>
      </c>
      <c r="H11" s="8">
        <f>IF(E11="Done",G11,IF(E11="Partial",G11*0.5,0))</f>
        <v/>
      </c>
      <c r="I11" s="8" t="inlineStr">
        <is>
          <t>Hermes Design Specialist</t>
        </is>
      </c>
      <c r="J11" s="8" t="inlineStr"/>
    </row>
    <row r="12">
      <c r="A12" s="8" t="inlineStr">
        <is>
          <t>CCP-08</t>
        </is>
      </c>
      <c r="B12" s="8" t="inlineStr">
        <is>
          <t>Web search / page fetch</t>
        </is>
      </c>
      <c r="C12" s="8" t="inlineStr">
        <is>
          <t>Claude Code has its own WebSearch/WebFetch tools; Hermes's search_mcp.py (TM-02) is the preferred native path and already works.</t>
        </is>
      </c>
      <c r="D12" s="8" t="inlineStr">
        <is>
          <t>Hermes-VPS</t>
        </is>
      </c>
      <c r="E12" s="8" t="inlineStr">
        <is>
          <t>Done</t>
        </is>
      </c>
      <c r="F12" s="8" t="inlineStr">
        <is>
          <t>TM-02</t>
        </is>
      </c>
      <c r="G12" s="8" t="n">
        <v>3</v>
      </c>
      <c r="H12" s="8">
        <f>IF(E12="Done",G12,IF(E12="Partial",G12*0.5,0))</f>
        <v/>
      </c>
      <c r="I12" s="8" t="inlineStr">
        <is>
          <t>Platform/SRE</t>
        </is>
      </c>
      <c r="J12" s="8" t="inlineStr">
        <is>
          <t>Tool parity already achieved here</t>
        </is>
      </c>
    </row>
    <row r="13">
      <c r="A13" s="8" t="inlineStr">
        <is>
          <t>CCP-09</t>
        </is>
      </c>
      <c r="B13" s="8" t="inlineStr">
        <is>
          <t>Browser automation</t>
        </is>
      </c>
      <c r="C13" s="8" t="inlineStr">
        <is>
          <t>Claude Code has dedicated browser tools; Nous's native Tool Gateway advertises browser automation too, but it's unconfirmed/uncredentialed (same item as TM-07).</t>
        </is>
      </c>
      <c r="D13" s="8" t="inlineStr">
        <is>
          <t>Hermes-VPS</t>
        </is>
      </c>
      <c r="E13" s="8" t="inlineStr">
        <is>
          <t>Not Started</t>
        </is>
      </c>
      <c r="F13" s="8" t="inlineStr">
        <is>
          <t>TM-07</t>
        </is>
      </c>
      <c r="G13" s="8" t="n">
        <v>3</v>
      </c>
      <c r="H13" s="8">
        <f>IF(E13="Done",G13,IF(E13="Partial",G13*0.5,0))</f>
        <v/>
      </c>
      <c r="I13" s="8" t="inlineStr">
        <is>
          <t>Platform/SRE</t>
        </is>
      </c>
      <c r="J13" s="8" t="inlineStr"/>
    </row>
    <row r="14">
      <c r="A14" s="8" t="inlineStr">
        <is>
          <t>CCP-10</t>
        </is>
      </c>
      <c r="B14" s="8" t="inlineStr">
        <is>
          <t>Scheduled / recurring tasks</t>
        </is>
      </c>
      <c r="C14" s="8" t="inlineStr">
        <is>
          <t>Claude Code's environment can schedule wakeups/cron jobs for this kind of work; whether hermes-agent exposes an equivalent internal scheduler is unconfirmed.</t>
        </is>
      </c>
      <c r="D14" s="8" t="inlineStr">
        <is>
          <t>Hermes-VPS</t>
        </is>
      </c>
      <c r="E14" s="8" t="inlineStr">
        <is>
          <t>Not Started</t>
        </is>
      </c>
      <c r="F14" s="8" t="inlineStr"/>
      <c r="G14" s="8" t="n">
        <v>5</v>
      </c>
      <c r="H14" s="8">
        <f>IF(E14="Done",G14,IF(E14="Partial",G14*0.5,0))</f>
        <v/>
      </c>
      <c r="I14" s="8" t="inlineStr">
        <is>
          <t>Hermes Design Specialist</t>
        </is>
      </c>
      <c r="J14" s="8" t="inlineStr">
        <is>
          <t>Needed for things like secret-rotation reminders or nightly backup checks once those exist</t>
        </is>
      </c>
    </row>
    <row r="15">
      <c r="A15" s="8" t="inlineStr">
        <is>
          <t>CCP-11</t>
        </is>
      </c>
      <c r="B15" s="8" t="inlineStr">
        <is>
          <t>Session / multi-step task tracking</t>
        </is>
      </c>
      <c r="C15" s="8" t="inlineStr">
        <is>
          <t>Claude Code tracks its own task lists mid-session; unconfirmed whether hermes-agent has anything similar for tracking its own multi-step work.</t>
        </is>
      </c>
      <c r="D15" s="8" t="inlineStr">
        <is>
          <t>Hermes-VPS</t>
        </is>
      </c>
      <c r="E15" s="8" t="inlineStr">
        <is>
          <t>Not Started</t>
        </is>
      </c>
      <c r="F15" s="8" t="inlineStr"/>
      <c r="G15" s="8" t="n">
        <v>2</v>
      </c>
      <c r="H15" s="8">
        <f>IF(E15="Done",G15,IF(E15="Partial",G15*0.5,0))</f>
        <v/>
      </c>
      <c r="I15" s="8" t="inlineStr">
        <is>
          <t>Hermes Design Specialist</t>
        </is>
      </c>
      <c r="J15" s="8" t="inlineStr"/>
    </row>
    <row r="16">
      <c r="A16" s="8" t="inlineStr">
        <is>
          <t>CCP-12</t>
        </is>
      </c>
      <c r="B16" s="8" t="inlineStr">
        <is>
          <t>Full bootstrap retirement criterion</t>
        </is>
      </c>
      <c r="C16" s="8" t="inlineStr">
        <is>
          <t>The actual 'replace Claude Code with Hermes' finish line: every row above at parity, AND Hermes can perform this project's real maintenance (memory, git, infra) without Claude Code ever being opened.</t>
        </is>
      </c>
      <c r="D16" s="8" t="inlineStr">
        <is>
          <t>N/A (process/doc)</t>
        </is>
      </c>
      <c r="E16" s="8" t="inlineStr">
        <is>
          <t>Not Started</t>
        </is>
      </c>
      <c r="F16" s="8" t="inlineStr"/>
      <c r="G16" s="8" t="n">
        <v>10</v>
      </c>
      <c r="H16" s="8">
        <f>IF(E16="Done",G16,IF(E16="Partial",G16*0.5,0))</f>
        <v/>
      </c>
      <c r="I16" s="8" t="inlineStr">
        <is>
          <t>Hermes Design Specialist</t>
        </is>
      </c>
      <c r="J16" s="8" t="inlineStr">
        <is>
          <t>This is GV-02's concrete success criterion</t>
        </is>
      </c>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Productivity &amp; Acceptance Testing</t>
        </is>
      </c>
    </row>
    <row r="2" ht="16" customHeight="1">
      <c r="A2" s="2" t="inlineStr">
        <is>
          <t>What you actually get done through Hermes, and how to prove it works end-to-end — not just 'the service is running.' Flagged as a real coverage gap: the first 14 tabs are almost entirely infrastructure.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PA-01</t>
        </is>
      </c>
      <c r="B5" s="8" t="inlineStr">
        <is>
          <t>Google Drive file find/open/edit</t>
        </is>
      </c>
      <c r="C5" s="8" t="inlineStr">
        <is>
          <t>Locate and edit an existing file in Drive by name/content, not just by exact path.</t>
        </is>
      </c>
      <c r="D5" s="8" t="inlineStr">
        <is>
          <t>Hermes-VPS</t>
        </is>
      </c>
      <c r="E5" s="8" t="inlineStr">
        <is>
          <t>Not Started</t>
        </is>
      </c>
      <c r="F5" s="8" t="inlineStr">
        <is>
          <t>hermes-google-office-preference-2026-10-04</t>
        </is>
      </c>
      <c r="G5" s="8" t="n">
        <v>5</v>
      </c>
      <c r="H5" s="8">
        <f>IF(E5="Done",G5,IF(E5="Partial",G5*0.5,0))</f>
        <v/>
      </c>
      <c r="I5" s="8" t="inlineStr">
        <is>
          <t>Interface Engineer</t>
        </is>
      </c>
      <c r="J5" s="8" t="inlineStr">
        <is>
          <t>User prefers Google's office ecosystem for agentic work — no integration exists yet</t>
        </is>
      </c>
    </row>
    <row r="6">
      <c r="A6" s="8" t="inlineStr">
        <is>
          <t>PA-02</t>
        </is>
      </c>
      <c r="B6" s="8" t="inlineStr">
        <is>
          <t>Create/edit Docs, Sheets, Slides</t>
        </is>
      </c>
      <c r="C6" s="8" t="inlineStr">
        <is>
          <t>Produce a real Doc/Sheet/Slide deck from a request, not just a local file Hermes can't put anywhere the user already works.</t>
        </is>
      </c>
      <c r="D6" s="8" t="inlineStr">
        <is>
          <t>Hermes-VPS</t>
        </is>
      </c>
      <c r="E6" s="8" t="inlineStr">
        <is>
          <t>Not Started</t>
        </is>
      </c>
      <c r="F6" s="8" t="inlineStr"/>
      <c r="G6" s="8" t="n">
        <v>8</v>
      </c>
      <c r="H6" s="8">
        <f>IF(E6="Done",G6,IF(E6="Partial",G6*0.5,0))</f>
        <v/>
      </c>
      <c r="I6" s="8" t="inlineStr">
        <is>
          <t>Interface Engineer</t>
        </is>
      </c>
      <c r="J6" s="8" t="inlineStr"/>
    </row>
    <row r="7">
      <c r="A7" s="8" t="inlineStr">
        <is>
          <t>PA-03</t>
        </is>
      </c>
      <c r="B7" s="8" t="inlineStr">
        <is>
          <t>Gmail workflow (read/draft/send)</t>
        </is>
      </c>
      <c r="C7" s="8" t="inlineStr">
        <is>
          <t>At minimum: search mail, draft a reply, send with confirmation for anything irreversible.</t>
        </is>
      </c>
      <c r="D7" s="8" t="inlineStr">
        <is>
          <t>Hermes-VPS</t>
        </is>
      </c>
      <c r="E7" s="8" t="inlineStr">
        <is>
          <t>Not Started</t>
        </is>
      </c>
      <c r="F7" s="8" t="inlineStr"/>
      <c r="G7" s="8" t="n">
        <v>5</v>
      </c>
      <c r="H7" s="8">
        <f>IF(E7="Done",G7,IF(E7="Partial",G7*0.5,0))</f>
        <v/>
      </c>
      <c r="I7" s="8" t="inlineStr">
        <is>
          <t>Interface Engineer</t>
        </is>
      </c>
      <c r="J7" s="8" t="inlineStr"/>
    </row>
    <row r="8">
      <c r="A8" s="8" t="inlineStr">
        <is>
          <t>PA-04</t>
        </is>
      </c>
      <c r="B8" s="8" t="inlineStr">
        <is>
          <t>Calendar workflow (read/create/respond)</t>
        </is>
      </c>
      <c r="C8" s="8" t="inlineStr">
        <is>
          <t>Check availability, create an event, respond to an invite.</t>
        </is>
      </c>
      <c r="D8" s="8" t="inlineStr">
        <is>
          <t>Hermes-VPS</t>
        </is>
      </c>
      <c r="E8" s="8" t="inlineStr">
        <is>
          <t>Not Started</t>
        </is>
      </c>
      <c r="F8" s="8" t="inlineStr"/>
      <c r="G8" s="8" t="n">
        <v>5</v>
      </c>
      <c r="H8" s="8">
        <f>IF(E8="Done",G8,IF(E8="Partial",G8*0.5,0))</f>
        <v/>
      </c>
      <c r="I8" s="8" t="inlineStr">
        <is>
          <t>Interface Engineer</t>
        </is>
      </c>
      <c r="J8" s="8" t="inlineStr"/>
    </row>
    <row r="9">
      <c r="A9" s="8" t="inlineStr">
        <is>
          <t>PA-05</t>
        </is>
      </c>
      <c r="B9" s="8" t="inlineStr">
        <is>
          <t>Finished-deliverable acceptance test</t>
        </is>
      </c>
      <c r="C9" s="8" t="inlineStr">
        <is>
          <t>Produce an artifact (doc, sheet, code, report), inspect its own layout/calculations for correctness, revise it, and deliver it somewhere the user can actually use it — not just 'file was created.'</t>
        </is>
      </c>
      <c r="D9" s="8" t="inlineStr">
        <is>
          <t>N/A (process/doc)</t>
        </is>
      </c>
      <c r="E9" s="8" t="inlineStr">
        <is>
          <t>Not Started</t>
        </is>
      </c>
      <c r="F9" s="8" t="inlineStr"/>
      <c r="G9" s="8" t="n">
        <v>8</v>
      </c>
      <c r="H9" s="8">
        <f>IF(E9="Done",G9,IF(E9="Partial",G9*0.5,0))</f>
        <v/>
      </c>
      <c r="I9" s="8" t="inlineStr">
        <is>
          <t>Hermes Design Specialist</t>
        </is>
      </c>
      <c r="J9" s="8" t="inlineStr">
        <is>
          <t>This is the actual test this workbook itself should pass once Hermes builds things like it</t>
        </is>
      </c>
    </row>
    <row r="10">
      <c r="A10" s="8" t="inlineStr">
        <is>
          <t>PA-06</t>
        </is>
      </c>
      <c r="B10" s="8" t="inlineStr">
        <is>
          <t>Persistent project continuity</t>
        </is>
      </c>
      <c r="C10" s="8" t="inlineStr">
        <is>
          <t>Resume work on a named project across sessions, retain its decisions, distinguish it from other concurrent projects, and correct an outdated memory when told it's wrong.</t>
        </is>
      </c>
      <c r="D10" s="8" t="inlineStr">
        <is>
          <t>Hermes-VPS</t>
        </is>
      </c>
      <c r="E10" s="8" t="inlineStr">
        <is>
          <t>Not Started</t>
        </is>
      </c>
      <c r="F10" s="8" t="inlineStr"/>
      <c r="G10" s="8" t="n">
        <v>10</v>
      </c>
      <c r="H10" s="8">
        <f>IF(E10="Done",G10,IF(E10="Partial",G10*0.5,0))</f>
        <v/>
      </c>
      <c r="I10" s="8" t="inlineStr">
        <is>
          <t>Hermes Design Specialist</t>
        </is>
      </c>
      <c r="J10" s="8" t="inlineStr">
        <is>
          <t>Overlaps 02_Identity_Memory but from the angle of multiple concurrent projects, not just single-identity continuity</t>
        </is>
      </c>
    </row>
    <row r="11">
      <c r="A11" s="8" t="inlineStr">
        <is>
          <t>PA-07</t>
        </is>
      </c>
      <c r="B11" s="8" t="inlineStr">
        <is>
          <t>Long-running work: schedule/monitor/notify</t>
        </is>
      </c>
      <c r="C11" s="8" t="inlineStr">
        <is>
          <t>Schedule a task, monitor it to completion, notify the user without repeating actions already done.</t>
        </is>
      </c>
      <c r="D11" s="8" t="inlineStr">
        <is>
          <t>Hermes-VPS</t>
        </is>
      </c>
      <c r="E11" s="8" t="inlineStr">
        <is>
          <t>Not Started</t>
        </is>
      </c>
      <c r="F11" s="8" t="inlineStr"/>
      <c r="G11" s="8" t="n">
        <v>8</v>
      </c>
      <c r="H11" s="8">
        <f>IF(E11="Done",G11,IF(E11="Partial",G11*0.5,0))</f>
        <v/>
      </c>
      <c r="I11" s="8" t="inlineStr">
        <is>
          <t>Hermes Design Specialist</t>
        </is>
      </c>
      <c r="J11" s="8" t="inlineStr"/>
    </row>
    <row r="12">
      <c r="A12" s="8" t="inlineStr">
        <is>
          <t>PA-08</t>
        </is>
      </c>
      <c r="B12" s="8" t="inlineStr">
        <is>
          <t>Long-running work: pause/cancel/resume-after-failure</t>
        </is>
      </c>
      <c r="C12" s="8" t="inlineStr">
        <is>
          <t>The harder half of PA-07 — recovering a long task after a crash or interruption without starting over or duplicating completed steps.</t>
        </is>
      </c>
      <c r="D12" s="8" t="inlineStr">
        <is>
          <t>Hermes-VPS</t>
        </is>
      </c>
      <c r="E12" s="8" t="inlineStr">
        <is>
          <t>Not Started</t>
        </is>
      </c>
      <c r="F12" s="8" t="inlineStr"/>
      <c r="G12" s="8" t="n">
        <v>8</v>
      </c>
      <c r="H12" s="8">
        <f>IF(E12="Done",G12,IF(E12="Partial",G12*0.5,0))</f>
        <v/>
      </c>
      <c r="I12" s="8" t="inlineStr">
        <is>
          <t>Hermes Design Specialist</t>
        </is>
      </c>
      <c r="J12" s="8" t="inlineStr"/>
    </row>
    <row r="13">
      <c r="A13" s="8" t="inlineStr">
        <is>
          <t>PA-09</t>
        </is>
      </c>
      <c r="B13" s="8" t="inlineStr">
        <is>
          <t>Agent behavior: permitted-actions policy</t>
        </is>
      </c>
      <c r="C13" s="8" t="inlineStr">
        <is>
          <t>A written definition of what Hermes may do autonomously vs. needs confirmation for — the Hermes equivalent of this session's own instruction-source-boundary rules.</t>
        </is>
      </c>
      <c r="D13" s="8" t="inlineStr">
        <is>
          <t>N/A (process/doc)</t>
        </is>
      </c>
      <c r="E13" s="8" t="inlineStr">
        <is>
          <t>Not Started</t>
        </is>
      </c>
      <c r="F13" s="8" t="inlineStr"/>
      <c r="G13" s="8" t="n">
        <v>8</v>
      </c>
      <c r="H13" s="8">
        <f>IF(E13="Done",G13,IF(E13="Partial",G13*0.5,0))</f>
        <v/>
      </c>
      <c r="I13" s="8" t="inlineStr">
        <is>
          <t>Hermes Design Specialist</t>
        </is>
      </c>
      <c r="J13" s="8" t="inlineStr"/>
    </row>
    <row r="14">
      <c r="A14" s="8" t="inlineStr">
        <is>
          <t>PA-10</t>
        </is>
      </c>
      <c r="B14" s="8" t="inlineStr">
        <is>
          <t>Agent behavior: untrusted-content handling</t>
        </is>
      </c>
      <c r="C14" s="8" t="inlineStr">
        <is>
          <t>How Hermes treats instructions it finds inside documents/emails/web pages it's asked to process — should never treat embedded text as commands from the user.</t>
        </is>
      </c>
      <c r="D14" s="8" t="inlineStr">
        <is>
          <t>N/A (process/doc)</t>
        </is>
      </c>
      <c r="E14" s="8" t="inlineStr">
        <is>
          <t>Not Started</t>
        </is>
      </c>
      <c r="F14" s="8" t="inlineStr"/>
      <c r="G14" s="8" t="n">
        <v>8</v>
      </c>
      <c r="H14" s="8">
        <f>IF(E14="Done",G14,IF(E14="Partial",G14*0.5,0))</f>
        <v/>
      </c>
      <c r="I14" s="8" t="inlineStr">
        <is>
          <t>Security Reviewer</t>
        </is>
      </c>
      <c r="J14" s="8" t="inlineStr"/>
    </row>
    <row r="15">
      <c r="A15" s="8" t="inlineStr">
        <is>
          <t>PA-11</t>
        </is>
      </c>
      <c r="B15" s="8" t="inlineStr">
        <is>
          <t>Agent behavior: tool-failure recovery</t>
        </is>
      </c>
      <c r="C15" s="8" t="inlineStr">
        <is>
          <t>What Hermes does when a tool call fails mid-task — retry, degrade, or stop and ask — needs to be a defined behavior, not whatever happens by accident.</t>
        </is>
      </c>
      <c r="D15" s="8" t="inlineStr">
        <is>
          <t>Hermes-VPS</t>
        </is>
      </c>
      <c r="E15" s="8" t="inlineStr">
        <is>
          <t>Not Started</t>
        </is>
      </c>
      <c r="F15" s="8" t="inlineStr"/>
      <c r="G15" s="8" t="n">
        <v>5</v>
      </c>
      <c r="H15" s="8">
        <f>IF(E15="Done",G15,IF(E15="Partial",G15*0.5,0))</f>
        <v/>
      </c>
      <c r="I15" s="8" t="inlineStr">
        <is>
          <t>Hermes Design Specialist</t>
        </is>
      </c>
      <c r="J15" s="8" t="inlineStr"/>
    </row>
    <row r="16">
      <c r="A16" s="8" t="inlineStr">
        <is>
          <t>PA-12</t>
        </is>
      </c>
      <c r="B16" s="8" t="inlineStr">
        <is>
          <t>Acceptance testing as a standing practice</t>
        </is>
      </c>
      <c r="C16" s="8" t="inlineStr">
        <is>
          <t>Prove complete user workflows with observable results (a sent email, a usable spreadsheet, a working deploy) as the actual definition of 'done' — not 'tool installed' or 'service running,' which the rest of this workbook leans on heavily.</t>
        </is>
      </c>
      <c r="D16" s="8" t="inlineStr">
        <is>
          <t>N/A (process/doc)</t>
        </is>
      </c>
      <c r="E16" s="8" t="inlineStr">
        <is>
          <t>Not Started</t>
        </is>
      </c>
      <c r="F16" s="8" t="inlineStr"/>
      <c r="G16" s="8" t="n">
        <v>8</v>
      </c>
      <c r="H16" s="8">
        <f>IF(E16="Done",G16,IF(E16="Partial",G16*0.5,0))</f>
        <v/>
      </c>
      <c r="I16" s="8" t="inlineStr">
        <is>
          <t>Hermes Design Specialist</t>
        </is>
      </c>
      <c r="J16" s="8" t="inlineStr">
        <is>
          <t>Direct response to this tab's own review feedback — apply this standard to every other tab's Done rows too, retroactively, as time allows</t>
        </is>
      </c>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tabColor rgb="008A5A2E"/>
    <outlinePr summaryBelow="1" summaryRight="1"/>
    <pageSetUpPr/>
  </sheetPr>
  <dimension ref="A1:E1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40" customWidth="1" min="2" max="2"/>
    <col width="16" customWidth="1" min="3" max="3"/>
    <col width="48" customWidth="1" min="4" max="4"/>
    <col width="34" customWidth="1" min="5" max="5"/>
  </cols>
  <sheetData>
    <row r="1" ht="22" customHeight="1">
      <c r="A1" s="6" t="inlineStr">
        <is>
          <t>Discovery — Vultr Services Audit</t>
        </is>
      </c>
    </row>
    <row r="2" ht="16" customHeight="1">
      <c r="A2" s="2" t="inlineStr">
        <is>
          <t>What Vultr actually offers, researched 2026-10-04, mapped against whether Hermes should use it. Reference material, not a tracked backlog — the resulting action items live in the 01-15 tabs, not here.</t>
        </is>
      </c>
    </row>
    <row r="4">
      <c r="A4" s="7" t="inlineStr">
        <is>
          <t>Service</t>
        </is>
      </c>
      <c r="B4" s="7" t="inlineStr">
        <is>
          <t>What it does</t>
        </is>
      </c>
      <c r="C4" s="7" t="inlineStr">
        <is>
          <t>Relevant to Hermes?</t>
        </is>
      </c>
      <c r="D4" s="7" t="inlineStr">
        <is>
          <t>Why</t>
        </is>
      </c>
      <c r="E4" s="7" t="inlineStr">
        <is>
          <t>Priority</t>
        </is>
      </c>
    </row>
    <row r="5">
      <c r="A5" s="8" t="inlineStr">
        <is>
          <t>Cloud Compute (High Performance AMD)</t>
        </is>
      </c>
      <c r="B5" s="8" t="inlineStr">
        <is>
          <t>VPS tiers — the box Hermes itself runs on.</t>
        </is>
      </c>
      <c r="C5" s="8" t="inlineStr">
        <is>
          <t>Already using</t>
        </is>
      </c>
      <c r="D5" s="8" t="inlineStr">
        <is>
          <t>hermes-vps is this; sister's agent (CR-15) will be a second one.</t>
        </is>
      </c>
      <c r="E5" s="8" t="inlineStr">
        <is>
          <t>N/A — in use</t>
        </is>
      </c>
    </row>
    <row r="6">
      <c r="A6" s="8" t="inlineStr">
        <is>
          <t>Managed Database (Postgres, MySQL, Valkey, Kafka)</t>
        </is>
      </c>
      <c r="B6" s="8" t="inlineStr">
        <is>
          <t>Fully-managed DB, $3.50/mo+, pgvector support free.</t>
        </is>
      </c>
      <c r="C6" s="8" t="inlineStr">
        <is>
          <t>Yes — high priority</t>
        </is>
      </c>
      <c r="D6" s="8" t="inlineStr">
        <is>
          <t>Direct fix for SV-15 (catalog/vault migration off fileserver) and a possible shared store for Hindsight (IM-05).</t>
        </is>
      </c>
      <c r="E6" s="8" t="inlineStr">
        <is>
          <t>High — tracked as SV-15</t>
        </is>
      </c>
    </row>
    <row r="7">
      <c r="A7" s="8" t="inlineStr">
        <is>
          <t>Serverless Inference</t>
        </is>
      </c>
      <c r="B7" s="8" t="inlineStr">
        <is>
          <t>Pay-per-token hosted LLMs, pre-configured on hermes-vps already.</t>
        </is>
      </c>
      <c r="C7" s="8" t="inlineStr">
        <is>
          <t>Already using (idle)</t>
        </is>
      </c>
      <c r="D7" s="8" t="inlineStr">
        <is>
          <t>Real fallback tier between free-local and paid-Codex — priced out this session.</t>
        </is>
      </c>
      <c r="E7" s="8" t="inlineStr">
        <is>
          <t>Medium — reactivate as a fallback</t>
        </is>
      </c>
    </row>
    <row r="8">
      <c r="A8" s="8" t="inlineStr">
        <is>
          <t>Object Storage (S3-compatible)</t>
        </is>
      </c>
      <c r="B8" s="8" t="inlineStr">
        <is>
          <t>Cheap unstructured storage, multiple tiers.</t>
        </is>
      </c>
      <c r="C8" s="8" t="inlineStr">
        <is>
          <t>Yes</t>
        </is>
      </c>
      <c r="D8" s="8" t="inlineStr">
        <is>
          <t>Natural backup destination for BD-02/BD-06.</t>
        </is>
      </c>
      <c r="E8" s="8" t="inlineStr">
        <is>
          <t>Medium</t>
        </is>
      </c>
    </row>
    <row r="9">
      <c r="A9" s="8" t="inlineStr">
        <is>
          <t>Cloud Firewall</t>
        </is>
      </c>
      <c r="B9" s="8" t="inlineStr">
        <is>
          <t>Managed network-level firewall, separate from the VPS's own ufw.</t>
        </is>
      </c>
      <c r="C9" s="8" t="inlineStr">
        <is>
          <t>Yes</t>
        </is>
      </c>
      <c r="D9" s="8" t="inlineStr">
        <is>
          <t>Could close HN-05/SH-02 (gateway shell exposure) at the network layer, not just the app config layer — a second line of defense.</t>
        </is>
      </c>
      <c r="E9" s="8" t="inlineStr">
        <is>
          <t>High — security-relevant</t>
        </is>
      </c>
    </row>
    <row r="10">
      <c r="A10" s="8" t="inlineStr">
        <is>
          <t>VPC (private networking)</t>
        </is>
      </c>
      <c r="B10" s="8" t="inlineStr">
        <is>
          <t>Private network between your Vultr instances, no public IP needed between them.</t>
        </is>
      </c>
      <c r="C10" s="8" t="inlineStr">
        <is>
          <t>Yes, once there's &gt;1 instance</t>
        </is>
      </c>
      <c r="D10" s="8" t="inlineStr">
        <is>
          <t>Once sister's VPS (CR-15) and/or a Managed Database (SV-15) exist, VPC lets them talk to hermes-vps privately instead of over the public internet.</t>
        </is>
      </c>
      <c r="E10" s="8" t="inlineStr">
        <is>
          <t>Medium — do alongside SV-15/CR-15</t>
        </is>
      </c>
    </row>
    <row r="11">
      <c r="A11" s="8" t="inlineStr">
        <is>
          <t>Block Storage</t>
        </is>
      </c>
      <c r="B11" s="8" t="inlineStr">
        <is>
          <t>Expandable disk volumes you attach to a VPS.</t>
        </is>
      </c>
      <c r="C11" s="8" t="inlineStr">
        <is>
          <t>Maybe</t>
        </is>
      </c>
      <c r="D11" s="8" t="inlineStr">
        <is>
          <t>hermes-vps's 100GB NVMe could get tight once memory providers/skills accumulate data; not urgent yet.</t>
        </is>
      </c>
      <c r="E11" s="8" t="inlineStr">
        <is>
          <t>Low — watch CR-12 (resource headroom)</t>
        </is>
      </c>
    </row>
    <row r="12">
      <c r="A12" s="8" t="inlineStr">
        <is>
          <t>Cloud GPU / Bare Metal (GPU options)</t>
        </is>
      </c>
      <c r="B12" s="8" t="inlineStr">
        <is>
          <t>On-demand or dedicated GPU instances.</t>
        </is>
      </c>
      <c r="C12" s="8" t="inlineStr">
        <is>
          <t>Worth knowing, not recommended now</t>
        </is>
      </c>
      <c r="D12" s="8" t="inlineStr">
        <is>
          <t>Could theoretically host the local model on Vultr instead of w_workstation, which would fully remove the WireGuard-down dependency (MR-05) — but at real GPU-instance cost, undercutting the whole 'free local inference' point of using owned hardware.</t>
        </is>
      </c>
      <c r="E12" s="8" t="inlineStr">
        <is>
          <t>Low — only if the home-GPU approach is abandoned later</t>
        </is>
      </c>
    </row>
    <row r="13">
      <c r="A13" s="8" t="inlineStr">
        <is>
          <t>Kubernetes (VKE)</t>
        </is>
      </c>
      <c r="B13" s="8" t="inlineStr">
        <is>
          <t>Managed container orchestration, free control plane.</t>
        </is>
      </c>
      <c r="C13" s="8" t="inlineStr">
        <is>
          <t>No</t>
        </is>
      </c>
      <c r="D13" s="8" t="inlineStr">
        <is>
          <t>Overkill for one VPS running one agent; relevant only if Hermes sprawls into many containerized services.</t>
        </is>
      </c>
      <c r="E13" s="8" t="inlineStr">
        <is>
          <t>Not now</t>
        </is>
      </c>
    </row>
    <row r="14">
      <c r="A14" s="8" t="inlineStr">
        <is>
          <t>Container Registry</t>
        </is>
      </c>
      <c r="B14" s="8" t="inlineStr">
        <is>
          <t>Stores container images Hermes/Dokploy might build.</t>
        </is>
      </c>
      <c r="C14" s="8" t="inlineStr">
        <is>
          <t>Already tracked (TM-07 area)</t>
        </is>
      </c>
      <c r="D14" s="8" t="inlineStr">
        <is>
          <t>Free tier (10GB) covers this until custom images become a real need.</t>
        </is>
      </c>
      <c r="E14" s="8" t="inlineStr">
        <is>
          <t>Low</t>
        </is>
      </c>
    </row>
    <row r="15">
      <c r="A15" s="8" t="inlineStr">
        <is>
          <t>CDN</t>
        </is>
      </c>
      <c r="B15" s="8" t="inlineStr">
        <is>
          <t>Edge caching for static assets.</t>
        </is>
      </c>
      <c r="C15" s="8" t="inlineStr">
        <is>
          <t>Minor</t>
        </is>
      </c>
      <c r="D15" s="8" t="inlineStr">
        <is>
          <t>Only relevant once CR-08 (Hermes-hosted web presence) exists and has real traffic.</t>
        </is>
      </c>
      <c r="E15" s="8" t="inlineStr">
        <is>
          <t>Low — revisit after CR-08</t>
        </is>
      </c>
    </row>
    <row r="16">
      <c r="A16" s="8" t="inlineStr">
        <is>
          <t>DNS</t>
        </is>
      </c>
      <c r="B16" s="8" t="inlineStr">
        <is>
          <t>Vultr's own DNS hosting.</t>
        </is>
      </c>
      <c r="C16" s="8" t="inlineStr">
        <is>
          <t>Optional</t>
        </is>
      </c>
      <c r="D16" s="8" t="inlineStr">
        <is>
          <t>DuckDNS already works for the existing domain; moving DNS to Vultr is a 'prefer Vultr' nice-to-have, not a need.</t>
        </is>
      </c>
      <c r="E16" s="8" t="inlineStr">
        <is>
          <t>Low</t>
        </is>
      </c>
    </row>
    <row r="17">
      <c r="A17" s="8" t="inlineStr">
        <is>
          <t>Marketplace one-click apps</t>
        </is>
      </c>
      <c r="B17" s="8" t="inlineStr">
        <is>
          <t>Pre-built app images (Easypanel, CloudPanel, WireGuard, etc.)</t>
        </is>
      </c>
      <c r="C17" s="8" t="inlineStr">
        <is>
          <t>No</t>
        </is>
      </c>
      <c r="D17" s="8" t="inlineStr">
        <is>
          <t>Dokploy already covers the container-hosting role; the WireGuard app doesn't apply since the tunnel's home-side endpoint must stay physically at home by definition.</t>
        </is>
      </c>
      <c r="E17" s="8" t="inlineStr">
        <is>
          <t>Not applicable</t>
        </is>
      </c>
    </row>
    <row r="18">
      <c r="A18" s="8" t="inlineStr">
        <is>
          <t>Load Balancers / NAT Gateway / Direct Connect</t>
        </is>
      </c>
      <c r="B18" s="8" t="inlineStr">
        <is>
          <t>HA traffic distribution, private hybrid-cloud links.</t>
        </is>
      </c>
      <c r="C18" s="8" t="inlineStr">
        <is>
          <t>No</t>
        </is>
      </c>
      <c r="D18" s="8" t="inlineStr">
        <is>
          <t>Enterprise/multi-instance-at-scale features; nothing here operates at that scale.</t>
        </is>
      </c>
      <c r="E18" s="8" t="inlineStr">
        <is>
          <t>Not applicable</t>
        </is>
      </c>
    </row>
  </sheetData>
  <mergeCells count="2">
    <mergeCell ref="A2:E2"/>
    <mergeCell ref="A1:E1"/>
  </mergeCell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2026-10-05T00:17:45Z</dcterms:created>
  <dcterms:modified xsi:type="dcterms:W3CDTF">2026-10-05T00:17:45Z</dcterms:modified>
</cp:coreProperties>
</file>