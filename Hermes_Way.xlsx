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bl_01_Core_Runtime" displayName="tbl_01_Core_Runtime" ref="A4:J50" headerRowCount="1">
  <autoFilter ref="A4:J5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E7C7B"/>
    <outlinePr summaryBelow="1" summaryRight="1"/>
    <pageSetUpPr/>
  </sheetPr>
  <dimension ref="A1:A62"/>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Signal/Telegram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Signal.</t>
        </is>
      </c>
      <c r="D5" s="8" t="inlineStr">
        <is>
          <t>No</t>
        </is>
      </c>
      <c r="E5" s="8" t="inlineStr">
        <is>
          <t>02_Identity_Memory — session store not confirmed single, 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Signal/Telegram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SUM('01_Core_Runtime'!G5:G50)</f>
        <v/>
      </c>
      <c r="D5" s="10">
        <f>SUM('01_Core_Runtime'!H5:H50)</f>
        <v/>
      </c>
      <c r="E5" s="11">
        <f>IFERROR(D5/C5,0)</f>
        <v/>
      </c>
    </row>
    <row r="6">
      <c r="A6" s="10" t="inlineStr">
        <is>
          <t>02_Identity_Memory</t>
        </is>
      </c>
      <c r="B6" s="10" t="inlineStr">
        <is>
          <t>Identity &amp; Memory Continuity</t>
        </is>
      </c>
      <c r="C6" s="10">
        <f>SUM('02_Identity_Memory'!G5:G42)</f>
        <v/>
      </c>
      <c r="D6" s="10">
        <f>SUM('02_Identity_Memory'!H5:H42)</f>
        <v/>
      </c>
      <c r="E6" s="11">
        <f>IFERROR(D6/C6,0)</f>
        <v/>
      </c>
    </row>
    <row r="7">
      <c r="A7" s="10" t="inlineStr">
        <is>
          <t>03_Model_Routing_Resilience</t>
        </is>
      </c>
      <c r="B7" s="10" t="inlineStr">
        <is>
          <t>Model, Provider &amp; Resilience</t>
        </is>
      </c>
      <c r="C7" s="10">
        <f>SUM('03_Model_Routing_Resilience'!G5:G46)</f>
        <v/>
      </c>
      <c r="D7" s="10">
        <f>SUM('03_Model_Routing_Resilience'!H5:H46)</f>
        <v/>
      </c>
      <c r="E7" s="11">
        <f>IFERROR(D7/C7,0)</f>
        <v/>
      </c>
    </row>
    <row r="8">
      <c r="A8" s="10" t="inlineStr">
        <is>
          <t>04_Tool_MCP_Layer</t>
        </is>
      </c>
      <c r="B8" s="10" t="inlineStr">
        <is>
          <t>Tool / MCP Capability Layer</t>
        </is>
      </c>
      <c r="C8" s="10">
        <f>SUM('04_Tool_MCP_Layer'!G5:G47)</f>
        <v/>
      </c>
      <c r="D8" s="10">
        <f>SUM('04_Tool_MCP_Layer'!H5:H47)</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SUM('08_Interfaces_Access'!G5:G43)</f>
        <v/>
      </c>
      <c r="D12" s="10">
        <f>SUM('08_Interfaces_Access'!H5:H43)</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9" t="n"/>
      <c r="E33" s="19"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9" t="n"/>
      <c r="E34" s="19" t="n"/>
    </row>
    <row r="35" ht="44" customHeight="1">
      <c r="A35" s="8" t="inlineStr">
        <is>
          <t>G3 — VPS provisioned, hermes serve running</t>
        </is>
      </c>
      <c r="B35" s="8" t="inlineStr">
        <is>
          <t>done</t>
        </is>
      </c>
      <c r="C35" s="8" t="inlineStr">
        <is>
          <t>Required: box up, agent process live. Lives in 01_Core_Runtime CR-01 to CR-03.</t>
        </is>
      </c>
      <c r="D35" s="19" t="n"/>
      <c r="E35" s="19" t="n"/>
    </row>
    <row r="36" ht="44" customHeight="1">
      <c r="A36" s="8" t="inlineStr">
        <is>
          <t>G4 — WireGuard tunnel, LAN reachable from VPS</t>
        </is>
      </c>
      <c r="B36" s="8" t="inlineStr">
        <is>
          <t>done</t>
        </is>
      </c>
      <c r="C36" s="8" t="inlineStr">
        <is>
          <t>Required: tunnel + subnet routing, verified end-to-end. Lives in 06_Home_Network_Boundary HN-01/HN-02.</t>
        </is>
      </c>
      <c r="D36" s="19" t="n"/>
      <c r="E36" s="19"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9" t="n"/>
      <c r="E37" s="19"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9" t="n"/>
      <c r="E38" s="19" t="n"/>
    </row>
    <row r="39" ht="44" customHeight="1">
      <c r="A39" s="8" t="inlineStr">
        <is>
          <t>G7 — Signal/Telegram wired up</t>
        </is>
      </c>
      <c r="B39" s="8" t="inlineStr">
        <is>
          <t>not_started</t>
        </is>
      </c>
      <c r="C39" s="8" t="inlineStr">
        <is>
          <t>Required: a real messaging channel on top of hermes-gateway. Lives in 08_Interfaces_Access IA-05.</t>
        </is>
      </c>
      <c r="D39" s="19" t="n"/>
      <c r="E39" s="19"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9" t="n"/>
      <c r="E40" s="19"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9" t="n"/>
      <c r="E41" s="19" t="n"/>
    </row>
  </sheetData>
  <mergeCells count="18">
    <mergeCell ref="C33:E33"/>
    <mergeCell ref="C36:E36"/>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2">
      <c r="B52" s="20" t="inlineStr">
        <is>
          <t>TAB TOTAL (includes blank headroom rows above for future additions)</t>
        </is>
      </c>
      <c r="G52" s="20">
        <f>SUM(G5:G50)</f>
        <v/>
      </c>
      <c r="H52" s="20">
        <f>SUM(H5:H50)</f>
        <v/>
      </c>
      <c r="I52" s="20">
        <f>IFERROR(TEXT(H52/G52,"0%")&amp;" complete","0% complete")</f>
        <v/>
      </c>
    </row>
  </sheetData>
  <mergeCells count="2">
    <mergeCell ref="A1:J1"/>
    <mergeCell ref="A2:J2"/>
  </mergeCells>
  <conditionalFormatting sqref="E5:E5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MEMORY.md committed to hermes-vps</t>
        </is>
      </c>
      <c r="C5" s="8" t="inlineStr">
        <is>
          <t>Earlier plan called this SOUL.md — the real file hermes-agent reads is MEMORY.md (file-backed, 2,200-char cap, built in). Drafted in conversation, never actually written to the box.</t>
        </is>
      </c>
      <c r="D5" s="8" t="inlineStr">
        <is>
          <t>Hermes-VPS</t>
        </is>
      </c>
      <c r="E5" s="8" t="inlineStr">
        <is>
          <t>Not Started</t>
        </is>
      </c>
      <c r="F5" s="8" t="inlineStr">
        <is>
          <t>hermes-vps filesystem</t>
        </is>
      </c>
      <c r="G5" s="8" t="n">
        <v>10</v>
      </c>
      <c r="H5" s="8">
        <f>IF(E5="Done",G5,IF(E5="Partial",G5*0.5,0))</f>
        <v/>
      </c>
      <c r="I5" s="8" t="inlineStr">
        <is>
          <t>Hermes Design Specialist</t>
        </is>
      </c>
      <c r="J5" s="8" t="inlineStr"/>
    </row>
    <row r="6">
      <c r="A6" s="8" t="inlineStr">
        <is>
          <t>IM-02</t>
        </is>
      </c>
      <c r="B6" s="8" t="inlineStr">
        <is>
          <t>USER.md committed to hermes-vps</t>
        </is>
      </c>
      <c r="C6" s="8" t="inlineStr">
        <is>
          <t>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Signal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Hermes-native long-term memory</t>
        </is>
      </c>
      <c r="C9" s="8" t="inlineStr">
        <is>
          <t>Decision/context memory currently lives in Claude Code's bootstrap catalog habit, not in Hermes itself. Researched 2026-10-04: Hermes supports pluggable memory providers (Hindsight, Supermemory, Mnemosyne); Hindsight's local Docker mode (own Postgres, no cloud dependency) is the best fit — and if it can point at the same database as the catalog/vault once SV-15 migrates them, Hermes's memory and the project's memory become one store instead of two.</t>
        </is>
      </c>
      <c r="D9" s="8" t="inlineStr">
        <is>
          <t>Hermes-VPS</t>
        </is>
      </c>
      <c r="E9" s="8" t="inlineStr">
        <is>
          <t>Not Started</t>
        </is>
      </c>
      <c r="F9" s="8" t="inlineStr">
        <is>
          <t>catalog (temporary) -&gt; Hindsight (target)</t>
        </is>
      </c>
      <c r="G9" s="8" t="n">
        <v>8</v>
      </c>
      <c r="H9" s="8">
        <f>IF(E9="Done",G9,IF(E9="Partial",G9*0.5,0))</f>
        <v/>
      </c>
      <c r="I9" s="8" t="inlineStr">
        <is>
          <t>Hermes Design Specialist</t>
        </is>
      </c>
      <c r="J9" s="8" t="inlineStr">
        <is>
          <t>Depends on SV-15 (catalog/vault migration)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What Hermes keeps forever vs. prunes — not defined anywhere yet.</t>
        </is>
      </c>
      <c r="D11" s="8" t="inlineStr">
        <is>
          <t>N/A (process/doc)</t>
        </is>
      </c>
      <c r="E11" s="8" t="inlineStr">
        <is>
          <t>Not Started</t>
        </is>
      </c>
      <c r="F11" s="8" t="inlineStr"/>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MR-11</t>
        </is>
      </c>
      <c r="B15" s="8" t="inlineStr">
        <is>
          <t>Retry/backoff policy documented</t>
        </is>
      </c>
      <c r="C15" s="8" t="inlineStr">
        <is>
          <t>Transient local error vs. hard failure should not be handled identically.</t>
        </is>
      </c>
      <c r="D15" s="8" t="inlineStr">
        <is>
          <t>Hermes-VPS</t>
        </is>
      </c>
      <c r="E15" s="8" t="inlineStr">
        <is>
          <t>Not Started</t>
        </is>
      </c>
      <c r="F15" s="8" t="inlineStr"/>
      <c r="G15" s="8" t="n">
        <v>3</v>
      </c>
      <c r="H15" s="8">
        <f>IF(E15="Done",G15,IF(E15="Partial",G15*0.5,0))</f>
        <v/>
      </c>
      <c r="I15" s="8" t="inlineStr">
        <is>
          <t>Model/Routing Engineer</t>
        </is>
      </c>
      <c r="J15" s="8" t="inlineStr"/>
    </row>
    <row r="16">
      <c r="A16" s="8" t="inlineStr">
        <is>
          <t>MR-12</t>
        </is>
      </c>
      <c r="B16" s="8" t="inlineStr">
        <is>
          <t>Routing-decision log retention policy</t>
        </is>
      </c>
      <c r="C16" s="8" t="inlineStr">
        <is>
          <t>complexity_router.log exists and records every verdict, but nothing rotates or retains it deliberately.</t>
        </is>
      </c>
      <c r="D16" s="8" t="inlineStr">
        <is>
          <t>Hermes-VPS</t>
        </is>
      </c>
      <c r="E16" s="8" t="inlineStr">
        <is>
          <t>Partial</t>
        </is>
      </c>
      <c r="F16" s="8" t="inlineStr">
        <is>
          <t>/home/hermes/.hermes/logs/complexity_router.log</t>
        </is>
      </c>
      <c r="G16" s="8" t="n">
        <v>3</v>
      </c>
      <c r="H16" s="8">
        <f>IF(E16="Done",G16,IF(E16="Partial",G16*0.5,0))</f>
        <v/>
      </c>
      <c r="I16" s="8" t="inlineStr">
        <is>
          <t>Observability</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t>
        </is>
      </c>
      <c r="C7" s="8" t="inlineStr">
        <is>
          <t>vLLM / ik_llama.cpp / llama.cpp (CPU expert offload) / KTransformers — none evaluated on this hardware yet.</t>
        </is>
      </c>
      <c r="D7" s="8" t="inlineStr">
        <is>
          <t>Home-Network</t>
        </is>
      </c>
      <c r="E7" s="8" t="inlineStr">
        <is>
          <t>Not Started</t>
        </is>
      </c>
      <c r="F7" s="8" t="inlineStr"/>
      <c r="G7" s="8" t="n">
        <v>10</v>
      </c>
      <c r="H7" s="8">
        <f>IF(E7="Done",G7,IF(E7="Partial",G7*0.5,0))</f>
        <v/>
      </c>
      <c r="I7" s="8" t="inlineStr">
        <is>
          <t>Model/Routing Engineer</t>
        </is>
      </c>
      <c r="J7" s="8" t="inlineStr"/>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Signal/Telegram channel configured</t>
        </is>
      </c>
      <c r="C9" s="8" t="inlineStr">
        <is>
          <t>hermes-gateway process is running; no channel wired on top of it yet. This is the interface built specifically for the GP 'looks like ordinary traffic' constraint.</t>
        </is>
      </c>
      <c r="D9" s="8" t="inlineStr">
        <is>
          <t>Hermes-VPS</t>
        </is>
      </c>
      <c r="E9" s="8" t="inlineStr">
        <is>
          <t>Not Started</t>
        </is>
      </c>
      <c r="F9" s="8" t="inlineStr">
        <is>
          <t>hermes-gateway</t>
        </is>
      </c>
      <c r="G9" s="8" t="n">
        <v>10</v>
      </c>
      <c r="H9" s="8">
        <f>IF(E9="Done",G9,IF(E9="Partial",G9*0.5,0))</f>
        <v/>
      </c>
      <c r="I9" s="8" t="inlineStr">
        <is>
          <t>Interface Engineer</t>
        </is>
      </c>
      <c r="J9" s="8" t="inlineStr"/>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Signal channel.</t>
        </is>
      </c>
      <c r="D13" s="8" t="inlineStr">
        <is>
          <t>Hermes-VPS</t>
        </is>
      </c>
      <c r="E13" s="8" t="inlineStr">
        <is>
          <t>Not Started</t>
        </is>
      </c>
      <c r="F13" s="8" t="inlineStr"/>
      <c r="G13" s="8" t="n">
        <v>3</v>
      </c>
      <c r="H13" s="8">
        <f>IF(E13="Done",G13,IF(E13="Partial",G13*0.5,0))</f>
        <v/>
      </c>
      <c r="I13" s="8" t="inlineStr">
        <is>
          <t>Security Reviewer</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2026-10-04T20:29:03Z</dcterms:created>
  <dcterms:modified xsi:type="dcterms:W3CDTF">2026-10-04T20:29:04Z</dcterms:modified>
</cp:coreProperties>
</file>