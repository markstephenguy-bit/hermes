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_Me" sheetId="1" state="visible" r:id="rId1"/>
    <sheet name="00_Hermes_Way_Standards" sheetId="2" state="visible" r:id="rId2"/>
    <sheet name="00_Roles" sheetId="3" state="visible" r:id="rId3"/>
    <sheet name="00_Scorecard" sheetId="4" state="visible" r:id="rId4"/>
    <sheet name="01_Core_Runtime" sheetId="5" state="visible" r:id="rId5"/>
    <sheet name="02_Identity_Memory" sheetId="6" state="visible" r:id="rId6"/>
    <sheet name="03_Model_Routing_Resilience" sheetId="7" state="visible" r:id="rId7"/>
    <sheet name="04_Tool_MCP_Layer" sheetId="8" state="visible" r:id="rId8"/>
    <sheet name="05_Secrets_Vault" sheetId="9" state="visible" r:id="rId9"/>
    <sheet name="06_Home_Network_Boundary" sheetId="10" state="visible" r:id="rId10"/>
    <sheet name="07_Local_Inference" sheetId="11" state="visible" r:id="rId11"/>
    <sheet name="08_Interfaces_Access" sheetId="12" state="visible" r:id="rId12"/>
    <sheet name="09_Observability" sheetId="13" state="visible" r:id="rId13"/>
    <sheet name="10_Backup_DR" sheetId="14" state="visible" r:id="rId14"/>
    <sheet name="11_Cost_Subscriptions" sheetId="15" state="visible" r:id="rId15"/>
    <sheet name="12_Security_Hardening" sheetId="16" state="visible" r:id="rId16"/>
    <sheet name="13_Governance_Change_Mgmt" sheetId="17" state="visible" r:id="rId17"/>
    <sheet name="14_Claude_Code_Parity" sheetId="18" state="visible" r:id="rId18"/>
    <sheet name="15_Productivity_And_Acceptance" sheetId="19" state="visible" r:id="rId19"/>
    <sheet name="D1_Vultr_Services_Audit" sheetId="20" state="visible" r:id="rId20"/>
    <sheet name="D2_Providers_And_Deps" sheetId="21" state="visible" r:id="rId21"/>
    <sheet name="D3_Skills_System" sheetId="22" state="visible" r:id="rId22"/>
    <sheet name="D4_Crons_System" sheetId="23" state="visible" r:id="rId23"/>
    <sheet name="D5_Self_Improvement" sheetId="24" state="visible" r:id="rId24"/>
    <sheet name="D6_Web_Dashboard" sheetId="25" state="visible" r:id="rId25"/>
    <sheet name="D7_Setup_Execution_Workflow" sheetId="26" state="visible" r:id="rId26"/>
    <sheet name="D8_Advanced_Reference" sheetId="27" state="visible" r:id="rId2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E7C7B"/>
      <sz val="14"/>
    </font>
    <font>
      <name val="Arial"/>
      <i val="1"/>
      <color rgb="005B6672"/>
      <sz val="10"/>
    </font>
    <font>
      <name val="Arial"/>
      <b val="1"/>
      <color rgb="00FFFFFF"/>
      <sz val="10"/>
    </font>
    <font>
      <name val="Arial"/>
      <sz val="10"/>
    </font>
    <font>
      <name val="Arial"/>
      <b val="1"/>
      <sz val="10"/>
    </font>
    <font>
      <name val="Arial"/>
      <b val="1"/>
      <color rgb="000E7C7B"/>
      <sz val="20"/>
    </font>
    <font>
      <name val="Arial"/>
      <b val="1"/>
      <color rgb="001B2024"/>
      <sz val="11"/>
    </font>
    <font>
      <name val="Courier New"/>
      <sz val="9.5"/>
    </font>
    <font>
      <name val="Arial"/>
      <b val="1"/>
      <color rgb="000E7C7B"/>
      <sz val="12"/>
    </font>
  </fonts>
  <fills count="4">
    <fill>
      <patternFill/>
    </fill>
    <fill>
      <patternFill patternType="gray125"/>
    </fill>
    <fill>
      <patternFill patternType="solid">
        <fgColor rgb="001B2024"/>
      </patternFill>
    </fill>
    <fill>
      <patternFill patternType="solid">
        <fgColor rgb="00E2EFEE"/>
      </patternFill>
    </fill>
  </fills>
  <borders count="6">
    <border>
      <left/>
      <right/>
      <top/>
      <bottom/>
      <diagonal/>
    </border>
    <border>
      <left style="thin">
        <color rgb="00D8D4CC"/>
      </left>
      <right style="thin">
        <color rgb="00D8D4CC"/>
      </right>
      <top style="thin">
        <color rgb="00D8D4CC"/>
      </top>
      <bottom style="thin">
        <color rgb="00D8D4CC"/>
      </bottom>
    </border>
    <border>
      <left/>
      <right/>
      <top style="thin">
        <color rgb="00D8D4CC"/>
      </top>
      <bottom/>
      <diagonal/>
    </border>
    <border>
      <left/>
      <right style="thin">
        <color rgb="00D8D4CC"/>
      </right>
      <top style="thin">
        <color rgb="00D8D4CC"/>
      </top>
      <bottom/>
      <diagonal/>
    </border>
    <border>
      <left/>
      <right/>
      <top style="thin">
        <color rgb="00D8D4CC"/>
      </top>
      <bottom style="thin">
        <color rgb="00D8D4CC"/>
      </bottom>
      <diagonal/>
    </border>
    <border>
      <left/>
      <right style="thin">
        <color rgb="00D8D4CC"/>
      </right>
      <top style="thin">
        <color rgb="00D8D4CC"/>
      </top>
      <bottom style="thin">
        <color rgb="00D8D4CC"/>
      </bottom>
      <diagonal/>
    </border>
  </borders>
  <cellStyleXfs count="1">
    <xf numFmtId="0" fontId="0" fillId="0" borderId="0"/>
  </cellStyleXfs>
  <cellXfs count="21">
    <xf numFmtId="0" fontId="0" fillId="0" borderId="0" pivotButton="0" quotePrefix="0" xfId="0"/>
    <xf numFmtId="0" fontId="6" fillId="0" borderId="0" pivotButton="0" quotePrefix="0" xfId="0"/>
    <xf numFmtId="0" fontId="2" fillId="0" borderId="0" pivotButton="0" quotePrefix="0" xfId="0"/>
    <xf numFmtId="0" fontId="4" fillId="0" borderId="0" pivotButton="0" quotePrefix="0" xfId="0"/>
    <xf numFmtId="0" fontId="7" fillId="0" borderId="0" pivotButton="0" quotePrefix="0" xfId="0"/>
    <xf numFmtId="0" fontId="8" fillId="0" borderId="0" pivotButton="0" quotePrefix="0" xfId="0"/>
    <xf numFmtId="0" fontId="1"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3" fillId="2" borderId="1" pivotButton="0" quotePrefix="0" xfId="0"/>
    <xf numFmtId="0" fontId="4" fillId="0" borderId="1" pivotButton="0" quotePrefix="0" xfId="0"/>
    <xf numFmtId="9" fontId="4" fillId="0" borderId="1" pivotButton="0" quotePrefix="0" xfId="0"/>
    <xf numFmtId="0" fontId="5" fillId="3" borderId="1" pivotButton="0" quotePrefix="0" xfId="0"/>
    <xf numFmtId="0" fontId="0" fillId="3" borderId="1" pivotButton="0" quotePrefix="0" xfId="0"/>
    <xf numFmtId="9" fontId="5" fillId="3" borderId="1" pivotButton="0" quotePrefix="0" xfId="0"/>
    <xf numFmtId="0" fontId="9" fillId="0" borderId="0" pivotButton="0" quotePrefix="0" xfId="0"/>
    <xf numFmtId="0" fontId="4" fillId="0" borderId="0" applyAlignment="1" pivotButton="0" quotePrefix="0" xfId="0">
      <alignment vertical="top" wrapText="1"/>
    </xf>
    <xf numFmtId="0" fontId="0" fillId="0" borderId="4" pivotButton="0" quotePrefix="0" xfId="0"/>
    <xf numFmtId="0" fontId="0" fillId="0" borderId="5" pivotButton="0" quotePrefix="0" xfId="0"/>
    <xf numFmtId="0" fontId="0" fillId="0" borderId="1" pivotButton="0" quotePrefix="0" xfId="0"/>
    <xf numFmtId="0" fontId="5" fillId="0" borderId="0" pivotButton="0" quotePrefix="0" xfId="0"/>
  </cellXfs>
  <cellStyles count="1">
    <cellStyle name="Normal" xfId="0" builtinId="0" hidden="0"/>
  </cellStyles>
  <dxfs count="6">
    <dxf>
      <fill>
        <patternFill patternType="solid">
          <fgColor rgb="00F8E6E0"/>
        </patternFill>
      </fill>
    </dxf>
    <dxf>
      <fill>
        <patternFill patternType="solid">
          <fgColor rgb="00FBF0DD"/>
        </patternFill>
      </fill>
    </dxf>
    <dxf>
      <fill>
        <patternFill patternType="solid">
          <fgColor rgb="00E4F4E7"/>
        </patternFill>
      </fill>
    </dxf>
    <dxf>
      <font>
        <name val="Arial"/>
        <b val="1"/>
        <color rgb="002F9E44"/>
        <sz val="10"/>
      </font>
      <fill>
        <patternFill patternType="solid">
          <fgColor rgb="00E4F4E7"/>
        </patternFill>
      </fill>
    </dxf>
    <dxf>
      <font>
        <name val="Arial"/>
        <b val="1"/>
        <color rgb="00B9790A"/>
        <sz val="10"/>
      </font>
      <fill>
        <patternFill patternType="solid">
          <fgColor rgb="00FBF0DD"/>
        </patternFill>
      </fill>
    </dxf>
    <dxf>
      <font>
        <name val="Arial"/>
        <b val="1"/>
        <color rgb="005B6672"/>
        <sz val="10"/>
      </font>
      <fill>
        <patternFill patternType="solid">
          <fgColor rgb="00ECEB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ables/table1.xml><?xml version="1.0" encoding="utf-8"?>
<table xmlns="http://schemas.openxmlformats.org/spreadsheetml/2006/main" id="1" name="tbl_01_Core_Runtime" displayName="tbl_01_Core_Runtime" ref="A4:J51" headerRowCount="1">
  <autoFilter ref="A4:J51"/>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2.xml><?xml version="1.0" encoding="utf-8"?>
<table xmlns="http://schemas.openxmlformats.org/spreadsheetml/2006/main" id="2" name="tbl_02_Identity_Memory" displayName="tbl_02_Identity_Memory" ref="A4:J43" headerRowCount="1">
  <autoFilter ref="A4:J43"/>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3.xml><?xml version="1.0" encoding="utf-8"?>
<table xmlns="http://schemas.openxmlformats.org/spreadsheetml/2006/main" id="3" name="tbl_03_Model_Routing_Resilience" displayName="tbl_03_Model_Routing_Resilience" ref="A4:J47" headerRowCount="1">
  <autoFilter ref="A4:J47"/>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4.xml><?xml version="1.0" encoding="utf-8"?>
<table xmlns="http://schemas.openxmlformats.org/spreadsheetml/2006/main" id="4" name="tbl_04_Tool_MCP_Layer" displayName="tbl_04_Tool_MCP_Layer" ref="A4:J48" headerRowCount="1">
  <autoFilter ref="A4:J48"/>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5.xml><?xml version="1.0" encoding="utf-8"?>
<table xmlns="http://schemas.openxmlformats.org/spreadsheetml/2006/main" id="5" name="tbl_05_Secrets_Vault" displayName="tbl_05_Secrets_Vault" ref="A4:J49" headerRowCount="1">
  <autoFilter ref="A4:J49"/>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6.xml><?xml version="1.0" encoding="utf-8"?>
<table xmlns="http://schemas.openxmlformats.org/spreadsheetml/2006/main" id="6" name="tbl_06_Home_Network_Boundary" displayName="tbl_06_Home_Network_Boundary" ref="A4:J42" headerRowCount="1">
  <autoFilter ref="A4:J42"/>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7.xml><?xml version="1.0" encoding="utf-8"?>
<table xmlns="http://schemas.openxmlformats.org/spreadsheetml/2006/main" id="7" name="tbl_07_Local_Inference" displayName="tbl_07_Local_Inference" ref="A4:J46" headerRowCount="1">
  <autoFilter ref="A4:J46"/>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8.xml><?xml version="1.0" encoding="utf-8"?>
<table xmlns="http://schemas.openxmlformats.org/spreadsheetml/2006/main" id="8" name="tbl_08_Interfaces_Access" displayName="tbl_08_Interfaces_Access" ref="A4:J44" headerRowCount="1">
  <autoFilter ref="A4:J44"/>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9.xml><?xml version="1.0" encoding="utf-8"?>
<table xmlns="http://schemas.openxmlformats.org/spreadsheetml/2006/main" id="9" name="tbl_09_Observability" displayName="tbl_09_Observability" ref="A4:J40" headerRowCount="1">
  <autoFilter ref="A4:J40"/>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10.xml><?xml version="1.0" encoding="utf-8"?>
<table xmlns="http://schemas.openxmlformats.org/spreadsheetml/2006/main" id="10" name="tbl_10_Backup_DR" displayName="tbl_10_Backup_DR" ref="A4:J40" headerRowCount="1">
  <autoFilter ref="A4:J40"/>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11.xml><?xml version="1.0" encoding="utf-8"?>
<table xmlns="http://schemas.openxmlformats.org/spreadsheetml/2006/main" id="11" name="tbl_11_Cost_Subscriptions" displayName="tbl_11_Cost_Subscriptions" ref="A4:J40" headerRowCount="1">
  <autoFilter ref="A4:J40"/>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12.xml><?xml version="1.0" encoding="utf-8"?>
<table xmlns="http://schemas.openxmlformats.org/spreadsheetml/2006/main" id="12" name="tbl_12_Security_Hardening" displayName="tbl_12_Security_Hardening" ref="A4:J42" headerRowCount="1">
  <autoFilter ref="A4:J42"/>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13.xml><?xml version="1.0" encoding="utf-8"?>
<table xmlns="http://schemas.openxmlformats.org/spreadsheetml/2006/main" id="13" name="tbl_13_Governance_Change_Mgmt" displayName="tbl_13_Governance_Change_Mgmt" ref="A4:J40" headerRowCount="1">
  <autoFilter ref="A4:J40"/>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14.xml><?xml version="1.0" encoding="utf-8"?>
<table xmlns="http://schemas.openxmlformats.org/spreadsheetml/2006/main" id="14" name="tbl_14_Claude_Code_Parity" displayName="tbl_14_Claude_Code_Parity" ref="A4:J46" headerRowCount="1">
  <autoFilter ref="A4:J46"/>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15.xml><?xml version="1.0" encoding="utf-8"?>
<table xmlns="http://schemas.openxmlformats.org/spreadsheetml/2006/main" id="15" name="tbl_15_Productivity_And_Acceptance" displayName="tbl_15_Productivity_And_Acceptance" ref="A4:J46" headerRowCount="1">
  <autoFilter ref="A4:J46"/>
  <tableColumns count="10">
    <tableColumn id="1" name="ID"/>
    <tableColumn id="2" name="Feature"/>
    <tableColumn id="3" name="Description (execution level)"/>
    <tableColumn id="4" name="Must Live On"/>
    <tableColumn id="5" name="Status"/>
    <tableColumn id="6" name="Evidence / Location"/>
    <tableColumn id="7" name="Points"/>
    <tableColumn id="8" name="Points Earned"/>
    <tableColumn id="9" name="Owner Role"/>
    <tableColumn id="10" name="Notes / Next Action"/>
  </tableColumns>
  <tableStyleInfo name="TableStyleLight9" showFirstColumn="0" showLastColumn="0" showRowStripes="1" showColumnStripes="0"/>
</table>
</file>

<file path=xl/tables/table16.xml><?xml version="1.0" encoding="utf-8"?>
<table xmlns="http://schemas.openxmlformats.org/spreadsheetml/2006/main" id="16" name="tbl_D1_Vultr_Services_Audit" displayName="tbl_D1_Vultr_Services_Audit" ref="A4:E18" headerRowCount="1">
  <autoFilter ref="A4:E18"/>
  <tableColumns count="5">
    <tableColumn id="1" name="Service"/>
    <tableColumn id="2" name="What it does"/>
    <tableColumn id="3" name="Relevant to Hermes?"/>
    <tableColumn id="4" name="Why"/>
    <tableColumn id="5" name="Priority"/>
  </tableColumns>
  <tableStyleInfo name="TableStyleLight11" showFirstColumn="0" showLastColumn="0" showRowStripes="1" showColumnStripes="0"/>
</table>
</file>

<file path=xl/tables/table17.xml><?xml version="1.0" encoding="utf-8"?>
<table xmlns="http://schemas.openxmlformats.org/spreadsheetml/2006/main" id="17" name="tbl_D2_Providers_And_Deps" displayName="tbl_D2_Providers_And_Deps" ref="A4:E13" headerRowCount="1">
  <autoFilter ref="A4:E13"/>
  <tableColumns count="5">
    <tableColumn id="1" name="Topic"/>
    <tableColumn id="2" name="What it is"/>
    <tableColumn id="3" name="Options found"/>
    <tableColumn id="4" name="Recommendation / dependency detail"/>
    <tableColumn id="5" name="Status"/>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table" Target="/xl/tables/table5.xml" Id="rId1" /></Relationships>
</file>

<file path=xl/worksheets/_rels/sheet10.xml.rels><Relationships xmlns="http://schemas.openxmlformats.org/package/2006/relationships"><Relationship Type="http://schemas.openxmlformats.org/officeDocument/2006/relationships/table" Target="/xl/tables/table6.xml" Id="rId1" /></Relationships>
</file>

<file path=xl/worksheets/_rels/sheet11.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_rels/sheet13.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5.xml.rels><Relationships xmlns="http://schemas.openxmlformats.org/package/2006/relationships"><Relationship Type="http://schemas.openxmlformats.org/officeDocument/2006/relationships/table" Target="/xl/tables/table11.xml" Id="rId1" /></Relationships>
</file>

<file path=xl/worksheets/_rels/sheet16.xml.rels><Relationships xmlns="http://schemas.openxmlformats.org/package/2006/relationships"><Relationship Type="http://schemas.openxmlformats.org/officeDocument/2006/relationships/table" Target="/xl/tables/table12.xml" Id="rId1" /></Relationships>
</file>

<file path=xl/worksheets/_rels/sheet17.xml.rels><Relationships xmlns="http://schemas.openxmlformats.org/package/2006/relationships"><Relationship Type="http://schemas.openxmlformats.org/officeDocument/2006/relationships/table" Target="/xl/tables/table13.xml" Id="rId1" /></Relationships>
</file>

<file path=xl/worksheets/_rels/sheet18.xml.rels><Relationships xmlns="http://schemas.openxmlformats.org/package/2006/relationships"><Relationship Type="http://schemas.openxmlformats.org/officeDocument/2006/relationships/table" Target="/xl/tables/table14.xml" Id="rId1" /></Relationships>
</file>

<file path=xl/worksheets/_rels/sheet19.xml.rels><Relationships xmlns="http://schemas.openxmlformats.org/package/2006/relationships"><Relationship Type="http://schemas.openxmlformats.org/officeDocument/2006/relationships/table" Target="/xl/tables/table15.xml" Id="rId1" /></Relationships>
</file>

<file path=xl/worksheets/_rels/sheet20.xml.rels><Relationships xmlns="http://schemas.openxmlformats.org/package/2006/relationships"><Relationship Type="http://schemas.openxmlformats.org/officeDocument/2006/relationships/table" Target="/xl/tables/table16.xml" Id="rId1" /></Relationships>
</file>

<file path=xl/worksheets/_rels/sheet21.xml.rels><Relationships xmlns="http://schemas.openxmlformats.org/package/2006/relationships"><Relationship Type="http://schemas.openxmlformats.org/officeDocument/2006/relationships/table" Target="/xl/tables/table17.xml" Id="rId1" /></Relationships>
</file>

<file path=xl/worksheets/sheet1.xml><?xml version="1.0" encoding="utf-8"?>
<worksheet xmlns="http://schemas.openxmlformats.org/spreadsheetml/2006/main">
  <sheetPr>
    <tabColor rgb="000E7C7B"/>
    <outlinePr summaryBelow="1" summaryRight="1"/>
    <pageSetUpPr/>
  </sheetPr>
  <dimension ref="A1:A85"/>
  <sheetViews>
    <sheetView showGridLines="0" workbookViewId="0">
      <selection activeCell="A1" sqref="A1"/>
    </sheetView>
  </sheetViews>
  <sheetFormatPr baseColWidth="8" defaultRowHeight="15"/>
  <cols>
    <col width="100" customWidth="1" min="1" max="1"/>
  </cols>
  <sheetData>
    <row r="1">
      <c r="A1" s="1" t="inlineStr">
        <is>
          <t>The Hermes Way</t>
        </is>
      </c>
    </row>
    <row r="2">
      <c r="A2" s="2" t="inlineStr">
        <is>
          <t>The working database for what 'Hermes, fully realized' actually means — built 2026-10-03, meant to keep growing.</t>
        </is>
      </c>
    </row>
    <row r="3">
      <c r="A3" s="3" t="inlineStr"/>
    </row>
    <row r="4">
      <c r="A4" s="4" t="inlineStr">
        <is>
          <t>WHAT THIS WORKBOOK IS</t>
        </is>
      </c>
    </row>
    <row r="5">
      <c r="A5" s="3" t="inlineStr">
        <is>
          <t>A flat, execution-level inventory of every feature required to realize Hermes as a complete personal-agent</t>
        </is>
      </c>
    </row>
    <row r="6">
      <c r="A6" s="3" t="inlineStr">
        <is>
          <t>platform — organized by capability domain (tabs 01-15), not by phase or timeline. Each row is one concrete,</t>
        </is>
      </c>
    </row>
    <row r="7">
      <c r="A7" s="3" t="inlineStr">
        <is>
          <t>checkable thing. This is the working feature backlog, not the authoritative record — per this project's</t>
        </is>
      </c>
    </row>
    <row r="8">
      <c r="A8" s="3" t="inlineStr">
        <is>
          <t>CLAUDE.md, the catalog (Postgres + PostgREST at 192.168.40.2:3003, tagged 'hermes') is the single source of</t>
        </is>
      </c>
    </row>
    <row r="9">
      <c r="A9" s="3" t="inlineStr">
        <is>
          <t>truth for decisions and facts. Keep this workbook consistent with the catalog; when they disagree, the</t>
        </is>
      </c>
    </row>
    <row r="10">
      <c r="A10" s="3" t="inlineStr">
        <is>
          <t>catalog wins and this file should be corrected.</t>
        </is>
      </c>
    </row>
    <row r="11">
      <c r="A11" s="3" t="inlineStr"/>
    </row>
    <row r="12">
      <c r="A12" s="4" t="inlineStr">
        <is>
          <t>THE ONE RULE EVERYTHING IS CHECKED AGAINST</t>
        </is>
      </c>
    </row>
    <row r="13">
      <c r="A13" s="3" t="inlineStr">
        <is>
          <t>Hermes = hermes-vps. The home network (w_workstation, WireGuard, the local LLM, Salt, MeshCentral) is a</t>
        </is>
      </c>
    </row>
    <row r="14">
      <c r="A14" s="3" t="inlineStr">
        <is>
          <t>swappable CAPABILITY PROVIDER Hermes reaches over a tunnel — never a place Hermes itself runs, and never a</t>
        </is>
      </c>
    </row>
    <row r="15">
      <c r="A15" s="3" t="inlineStr">
        <is>
          <t>dependency for Hermes to be fully itself. If the tunnel drops, Hermes must still answer everything via Codex,</t>
        </is>
      </c>
    </row>
    <row r="16">
      <c r="A16" s="3" t="inlineStr">
        <is>
          <t>with the same identity and the same tools, automatically, with no manual step. 'Away from home' and 'at home'</t>
        </is>
      </c>
    </row>
    <row r="17">
      <c r="A17" s="3" t="inlineStr">
        <is>
          <t>are the same Hermes; only the inference backend underneath is allowed to differ.</t>
        </is>
      </c>
    </row>
    <row r="18">
      <c r="A18" s="3" t="inlineStr"/>
    </row>
    <row r="19">
      <c r="A19" s="3" t="inlineStr">
        <is>
          <t>COLUMN LEGEND (every 01-13 tab uses the same 10 columns)</t>
        </is>
      </c>
    </row>
    <row r="20">
      <c r="A20" s="5" t="inlineStr">
        <is>
          <t xml:space="preserve">  ID              short code per tab, e.g. CR-01, SV-08 — stable, don't renumber when inserting rows</t>
        </is>
      </c>
    </row>
    <row r="21">
      <c r="A21" s="5" t="inlineStr">
        <is>
          <t xml:space="preserve">  Feature          short name of the thing</t>
        </is>
      </c>
    </row>
    <row r="22">
      <c r="A22" s="5" t="inlineStr">
        <is>
          <t xml:space="preserve">  Description      execution-level detail: what file, what config key, what command, what 'done' means</t>
        </is>
      </c>
    </row>
    <row r="23">
      <c r="A23" s="5" t="inlineStr">
        <is>
          <t xml:space="preserve">  Must Live On      Hermes-VPS / Home-Network / Either-Bridge / N/A (process or doc, no host)</t>
        </is>
      </c>
    </row>
    <row r="24">
      <c r="A24" s="5" t="inlineStr">
        <is>
          <t xml:space="preserve">  Status           Done / Partial / Not Started / Risk / Violation (color-coded automatically)</t>
        </is>
      </c>
    </row>
    <row r="25">
      <c r="A25" s="5" t="inlineStr">
        <is>
          <t xml:space="preserve">  Evidence/Location  host, file path, config key, or catalog entity key backing the status claim</t>
        </is>
      </c>
    </row>
    <row r="26">
      <c r="A26" s="5" t="inlineStr">
        <is>
          <t xml:space="preserve">  Points           weight — bigger number = more load-bearing, not more effort</t>
        </is>
      </c>
    </row>
    <row r="27">
      <c r="A27" s="5" t="inlineStr">
        <is>
          <t xml:space="preserve">  Points Earned     formula: Done=100% of Points, Partial=50%, everything else=0% — don't hand-edit this column</t>
        </is>
      </c>
    </row>
    <row r="28">
      <c r="A28" s="5" t="inlineStr">
        <is>
          <t xml:space="preserve">  Owner Role        which role (see 00_Roles) is accountable for closing this row</t>
        </is>
      </c>
    </row>
    <row r="29">
      <c r="A29" s="5" t="inlineStr">
        <is>
          <t xml:space="preserve">  Notes/Next Action  what actually has to happen next</t>
        </is>
      </c>
    </row>
    <row r="30">
      <c r="A30" s="3" t="inlineStr"/>
    </row>
    <row r="31">
      <c r="A31" s="3" t="inlineStr">
        <is>
          <t>STATUS DEFINITIONS (feature-completion only — not an audit log)</t>
        </is>
      </c>
    </row>
    <row r="32">
      <c r="A32" s="5" t="inlineStr">
        <is>
          <t xml:space="preserve">  Done        verified true, with evidence, as of this session</t>
        </is>
      </c>
    </row>
    <row r="33">
      <c r="A33" s="5" t="inlineStr">
        <is>
          <t xml:space="preserve">  Partial      exists but incomplete, unverified, or only half-covers the feature</t>
        </is>
      </c>
    </row>
    <row r="34">
      <c r="A34" s="5" t="inlineStr">
        <is>
          <t xml:space="preserve">  Not Started  no work done yet</t>
        </is>
      </c>
    </row>
    <row r="35">
      <c r="A35" s="5" t="inlineStr">
        <is>
          <t xml:space="preserve">  Anything worth flagging about WHY a row matters or what's exposed in the meantime belongs in Notes/Next</t>
        </is>
      </c>
    </row>
    <row r="36">
      <c r="A36" s="5" t="inlineStr">
        <is>
          <t xml:space="preserve">  Action, not in Status — Status only ever answers 'is this feature built yet.'</t>
        </is>
      </c>
    </row>
    <row r="37">
      <c r="A37" s="3" t="inlineStr"/>
    </row>
    <row r="38">
      <c r="A38" s="4" t="inlineStr">
        <is>
          <t>HOW TO GROW THIS RECURSIVELY</t>
        </is>
      </c>
    </row>
    <row r="39">
      <c r="A39" s="3" t="inlineStr">
        <is>
          <t>Every time a new feature surfaces — from your own work, from another LLM's review of this sheet, or from</t>
        </is>
      </c>
    </row>
    <row r="40">
      <c r="A40" s="3" t="inlineStr">
        <is>
          <t>something breaking — add a row in the right tab with the next ID in sequence. If it doesn't fit any existing</t>
        </is>
      </c>
    </row>
    <row r="41">
      <c r="A41" s="3" t="inlineStr">
        <is>
          <t>tab, that's a signal a 14th tab may be needed; check it against 00_Hermes_Way_Standards first.</t>
        </is>
      </c>
    </row>
    <row r="42">
      <c r="A42" s="3" t="inlineStr"/>
    </row>
    <row r="43">
      <c r="A43" s="4" t="inlineStr">
        <is>
          <t>TAB MAP</t>
        </is>
      </c>
    </row>
    <row r="44">
      <c r="A44" s="5" t="inlineStr">
        <is>
          <t xml:space="preserve">  00_Read_Me                  this page</t>
        </is>
      </c>
    </row>
    <row r="45">
      <c r="A45" s="5" t="inlineStr">
        <is>
          <t xml:space="preserve">  00_Hermes_Way_Standards       the principles every row is checked against</t>
        </is>
      </c>
    </row>
    <row r="46">
      <c r="A46" s="5" t="inlineStr">
        <is>
          <t xml:space="preserve">  00_Roles                    who's accountable for what kind of row</t>
        </is>
      </c>
    </row>
    <row r="47">
      <c r="A47" s="5" t="inlineStr">
        <is>
          <t xml:space="preserve">  00_Scorecard                point totals, % complete, the finish line, and the legacy G1-G9 mapping</t>
        </is>
      </c>
    </row>
    <row r="48">
      <c r="A48" s="5" t="inlineStr">
        <is>
          <t xml:space="preserve">  01_Core_Runtime              what IS Hermes, on the VPS</t>
        </is>
      </c>
    </row>
    <row r="49">
      <c r="A49" s="5" t="inlineStr">
        <is>
          <t xml:space="preserve">  02_Identity_Memory            SOUL.md/MEMORY.md/USER.md, extended memory providers, cross-interface continuity</t>
        </is>
      </c>
    </row>
    <row r="50">
      <c r="A50" s="5" t="inlineStr">
        <is>
          <t xml:space="preserve">  03_Model_Routing_Resilience    Codex-as-ceiling, local-down fire drill, routing logic</t>
        </is>
      </c>
    </row>
    <row r="51">
      <c r="A51" s="5" t="inlineStr">
        <is>
          <t xml:space="preserve">  04_Tool_MCP_Layer             MCP servers, one deployment per capability</t>
        </is>
      </c>
    </row>
    <row r="52">
      <c r="A52" s="5" t="inlineStr">
        <is>
          <t xml:space="preserve">  05_Secrets_Vault              every credential, vaulted or not</t>
        </is>
      </c>
    </row>
    <row r="53">
      <c r="A53" s="5" t="inlineStr">
        <is>
          <t xml:space="preserve">  06_Home_Network_Boundary       WireGuard, scope-creep check, gateway exposure</t>
        </is>
      </c>
    </row>
    <row r="54">
      <c r="A54" s="5" t="inlineStr">
        <is>
          <t xml:space="preserve">  07_Local_Inference            the w_workstation runtime/model decision</t>
        </is>
      </c>
    </row>
    <row r="55">
      <c r="A55" s="5" t="inlineStr">
        <is>
          <t xml:space="preserve">  08_Interfaces_Access          web UI, Desktop, Telegram</t>
        </is>
      </c>
    </row>
    <row r="56">
      <c r="A56" s="5" t="inlineStr">
        <is>
          <t xml:space="preserve">  09_Observability             health signals a human can actually see</t>
        </is>
      </c>
    </row>
    <row r="57">
      <c r="A57" s="5" t="inlineStr">
        <is>
          <t xml:space="preserve">  10_Backup_DR                 what survives a box dying</t>
        </is>
      </c>
    </row>
    <row r="58">
      <c r="A58" s="5" t="inlineStr">
        <is>
          <t xml:space="preserve">  11_Cost_Subscriptions         the actual point of the project</t>
        </is>
      </c>
    </row>
    <row r="59">
      <c r="A59" s="5" t="inlineStr">
        <is>
          <t xml:space="preserve">  12_Security_Hardening         closeable gaps, not debates</t>
        </is>
      </c>
    </row>
    <row r="60">
      <c r="A60" s="5" t="inlineStr">
        <is>
          <t xml:space="preserve">  13_Governance_Change_Mgmt      how this stays coherent as it grows</t>
        </is>
      </c>
    </row>
    <row r="61">
      <c r="A61" s="5" t="inlineStr">
        <is>
          <t xml:space="preserve">  14_Claude_Code_Parity         what Claude Code does today, mapped to the Hermes-native capability needed to retire it</t>
        </is>
      </c>
    </row>
    <row r="62">
      <c r="A62" s="5" t="inlineStr">
        <is>
          <t xml:space="preserve">  15_Productivity_And_Acceptance  everyday usefulness (Google office, deliverables, long-running work) and how to actually prove any of it works</t>
        </is>
      </c>
    </row>
    <row r="63">
      <c r="A63" s="3" t="inlineStr"/>
    </row>
    <row r="64">
      <c r="A64" s="5" t="inlineStr">
        <is>
          <t xml:space="preserve">  DISCOVERY TABS (prefixed D#, brown tab color) — reference research, not a tracked backlog. Resulting</t>
        </is>
      </c>
    </row>
    <row r="65">
      <c r="A65" s="5" t="inlineStr">
        <is>
          <t xml:space="preserve">  action items get added to the 01-15 tabs above, not tracked for completion here.</t>
        </is>
      </c>
    </row>
    <row r="66">
      <c r="A66" s="5" t="inlineStr">
        <is>
          <t xml:space="preserve">  D1_Vultr_Services_Audit       what Vultr offers vs. what Hermes should actually use</t>
        </is>
      </c>
    </row>
    <row r="67">
      <c r="A67" s="5" t="inlineStr">
        <is>
          <t xml:space="preserve">  D2_Providers_And_Deps  STT/image-gen/browser/embedding providers still unchosen, plus real</t>
        </is>
      </c>
    </row>
    <row r="68">
      <c r="A68" s="5" t="inlineStr">
        <is>
          <t xml:space="preserve">                                 install dependencies behind the 5 providers already locked in</t>
        </is>
      </c>
    </row>
    <row r="69">
      <c r="A69" s="5" t="inlineStr">
        <is>
          <t xml:space="preserve">  D3_Skills_System             how the Skills pillar actually works (SKILL.md, bundled/optional, self-authoring)</t>
        </is>
      </c>
    </row>
    <row r="70">
      <c r="A70" s="5" t="inlineStr">
        <is>
          <t xml:space="preserve">  D4_Crons_System              how the Crons pillar actually works (scheduler, config, hardening) -- capability confirmed, no jobs created</t>
        </is>
      </c>
    </row>
    <row r="71">
      <c r="A71" s="5" t="inlineStr">
        <is>
          <t xml:space="preserve">  D5_Self_Improvement          how the Self-Improvement pillar actually works (background review, Curator, session search)</t>
        </is>
      </c>
    </row>
    <row r="72">
      <c r="A72" s="5" t="inlineStr">
        <is>
          <t xml:space="preserve">  D6_Web_Dashboard             page-by-page survey of the live hermes-vps web dashboard (Config, Keys, Pairing, System, Analytics, Checkpoints, etc.)</t>
        </is>
      </c>
    </row>
    <row r="73">
      <c r="A73" s="5" t="inlineStr">
        <is>
          <t xml:space="preserve">  D7_Setup_Execution_Workflow  sequenced setup runbook for the eventual execution phase, verified against current source -- not yet run</t>
        </is>
      </c>
    </row>
    <row r="74">
      <c r="A74" s="5" t="inlineStr">
        <is>
          <t xml:space="preserve">  D8_Advanced_Reference       corrections + new capabilities from the 255-page Practitioner's Reference PDF and hermesbible.com -- TM-07 fix, GEPA, hermes egress/Bitwarden, setup gotchas</t>
        </is>
      </c>
    </row>
    <row r="75">
      <c r="A75" s="3" t="inlineStr"/>
    </row>
    <row r="76">
      <c r="A76" s="5" t="inlineStr">
        <is>
          <t xml:space="preserve">  Found 2026-10-04: Nous's own framing is 'Five Pillars' -- Memory, Skills, Soul, Crons, Self-</t>
        </is>
      </c>
    </row>
    <row r="77">
      <c r="A77" s="5" t="inlineStr">
        <is>
          <t xml:space="preserve">  Improvement. ALL FIVE now researched and verified against primary source as of 2026-10-05</t>
        </is>
      </c>
    </row>
    <row r="78">
      <c r="A78" s="5" t="inlineStr">
        <is>
          <t xml:space="preserve">  (02_Identity_Memory for Memory/Soul; D3/D4/D5 for Skills/Crons/Self-Improvement). Two</t>
        </is>
      </c>
    </row>
    <row r="79">
      <c r="A79" s="5" t="inlineStr">
        <is>
          <t xml:space="preserve">  numeric errors from secondary sources caught and fixed along the way (Skills catalog count,</t>
        </is>
      </c>
    </row>
    <row r="80">
      <c r="A80" s="5" t="inlineStr">
        <is>
          <t xml:space="preserve">  Hindsight benchmark figure). Crons and Self-Improvement capability both confirmed real and</t>
        </is>
      </c>
    </row>
    <row r="81">
      <c r="A81" t="inlineStr">
        <is>
          <t xml:space="preserve">  largely already satisfied by existing infra (CR-03 gateway) or built into hermes-agent itself</t>
        </is>
      </c>
    </row>
    <row r="82">
      <c r="A82" t="inlineStr">
        <is>
          <t xml:space="preserve">  -- no jobs/configuration actually created for either, per explicit discovery-only instruction.</t>
        </is>
      </c>
    </row>
    <row r="84">
      <c r="A84" t="inlineStr">
        <is>
          <t xml:space="preserve">  Found 2026-10-05: a community setup guide (user-supplied PDF, ~7mo stale) became D7_Setup_Execution_Workflow after every command was spot-checked against current source -- a sequenced runbook for the eventual execution phase, nothing run yet. Resolved the SH-06 exposure question from the line above: a fresh unauthenticated check against the live dashboard returned 401 -- the auth gate is active, exposure is gated not open. Also flagged two real-world community cautions on the already-locked local model (tool-routing quirk, mixed production-readiness reports) cross-referenced into LI-04.</t>
        </is>
      </c>
    </row>
    <row r="85">
      <c r="A85" t="inlineStr">
        <is>
          <t xml:space="preserve">  Found 2026-10-05: processed a 255-page community practitioner reference and hermesbible.com's bulk-downloadable llms-full.txt (D8_Advanced_Reference). Corrected TM-07 (Nous Tool Gateway is 4 Portal-gated tools, not '5 exec backends' -- that's actually the 7 terminal backends). Found a 4th self-improvement mechanism (GEPA, offline skill evolution via companion repo) and a real credential-protection stack (hermes egress / iron-proxy + Bitwarden, Docker-backend only, matches CR-17). Flagged a verification gap on CR-03 (systemd linger required for true reboot survival, not just logout) and closed the open blockers on IM-01 (SOUL.md template) and IA-05 (exact verified Telegram sequence). User decided: SSH access for execution (new CR-18, not yet provided), Home Assistant existence left open (new HN-09), voice interface explicitly deferred (IA-08).</t>
        </is>
      </c>
    </row>
  </sheetData>
  <pageMargins left="0.75" right="0.75" top="1" bottom="1" header="0.5" footer="0.5"/>
</worksheet>
</file>

<file path=xl/worksheets/sheet2.xml><?xml version="1.0" encoding="utf-8"?>
<worksheet xmlns="http://schemas.openxmlformats.org/spreadsheetml/2006/main">
  <sheetPr>
    <tabColor rgb="000E7C7B"/>
    <outlinePr summaryBelow="1" summaryRight="1"/>
    <pageSetUpPr/>
  </sheetPr>
  <dimension ref="A1:F17"/>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56" customWidth="1" min="3" max="3"/>
    <col width="16" customWidth="1" min="4" max="4"/>
    <col width="44" customWidth="1" min="5" max="5"/>
    <col width="22" customWidth="1" min="6" max="6"/>
  </cols>
  <sheetData>
    <row r="1" ht="22" customHeight="1">
      <c r="A1" s="6" t="inlineStr">
        <is>
          <t>The Hermes Way — Standards</t>
        </is>
      </c>
    </row>
    <row r="2">
      <c r="A2" s="2" t="inlineStr">
        <is>
          <t>The principles every row in tabs 01-15 is checked against. Re-run this check whenever a new capability is added.</t>
        </is>
      </c>
    </row>
    <row r="4">
      <c r="A4" s="7" t="inlineStr">
        <is>
          <t>#</t>
        </is>
      </c>
      <c r="B4" s="7" t="inlineStr">
        <is>
          <t>Standard</t>
        </is>
      </c>
      <c r="C4" s="7" t="inlineStr">
        <is>
          <t>What it means in practice</t>
        </is>
      </c>
      <c r="D4" s="7" t="inlineStr">
        <is>
          <t>Currently honored?</t>
        </is>
      </c>
      <c r="E4" s="7" t="inlineStr">
        <is>
          <t>Current gap, if any</t>
        </is>
      </c>
      <c r="F4" s="7" t="inlineStr">
        <is>
          <t>Owned by</t>
        </is>
      </c>
    </row>
    <row r="5">
      <c r="A5" s="8" t="n">
        <v>1</v>
      </c>
      <c r="B5" s="8" t="inlineStr">
        <is>
          <t>Single source of truth for identity &amp; state</t>
        </is>
      </c>
      <c r="C5" s="8" t="inlineStr">
        <is>
          <t>One memory, one identity, reachable identically from every interface — no split-brain between web UI / Desktop / future Telegram.</t>
        </is>
      </c>
      <c r="D5" s="8" t="inlineStr">
        <is>
          <t>No</t>
        </is>
      </c>
      <c r="E5" s="8" t="inlineStr">
        <is>
          <t>02_Identity_Memory — session store not confirmed single, SOUL.md/MEMORY.md/USER.md not even committed yet</t>
        </is>
      </c>
      <c r="F5" s="8" t="inlineStr">
        <is>
          <t>Hermes Design Specialist</t>
        </is>
      </c>
    </row>
    <row r="6">
      <c r="A6" s="8" t="n">
        <v>2</v>
      </c>
      <c r="B6" s="8" t="inlineStr">
        <is>
          <t>Core/capability separation</t>
        </is>
      </c>
      <c r="C6" s="8" t="inlineStr">
        <is>
          <t>Hermes's core (identity, routing, tools, web presence) lives only on hermes-vps. The home network is a capability provider, swappable without breaking the core.</t>
        </is>
      </c>
      <c r="D6" s="8" t="inlineStr">
        <is>
          <t>Partial</t>
        </is>
      </c>
      <c r="E6" s="8" t="inlineStr">
        <is>
          <t>06_Home_Network_Boundary — Salt/MeshCentral added beyond the 2026-09-23 'local LLM only' decision</t>
        </is>
      </c>
      <c r="F6" s="8" t="inlineStr">
        <is>
          <t>Hermes Design Specialist</t>
        </is>
      </c>
    </row>
    <row r="7">
      <c r="A7" s="8" t="n">
        <v>3</v>
      </c>
      <c r="B7" s="8" t="inlineStr">
        <is>
          <t>Graceful degradation, fail-safe default</t>
        </is>
      </c>
      <c r="C7" s="8" t="inlineStr">
        <is>
          <t>Losing any optional capability (local model, WireGuard link) degrades to a known-good fallback automatically — never an error, never silent wrong answers.</t>
        </is>
      </c>
      <c r="D7" s="8" t="inlineStr">
        <is>
          <t>Unverified</t>
        </is>
      </c>
      <c r="E7" s="8" t="inlineStr">
        <is>
          <t>03_Model_Routing_Resilience MR-05 — the WireGuard-down fire drill has never actually been run</t>
        </is>
      </c>
      <c r="F7" s="8" t="inlineStr">
        <is>
          <t>Model/Routing Engineer</t>
        </is>
      </c>
    </row>
    <row r="8">
      <c r="A8" s="8" t="n">
        <v>4</v>
      </c>
      <c r="B8" s="8" t="inlineStr">
        <is>
          <t>Least privilege</t>
        </is>
      </c>
      <c r="C8" s="8" t="inlineStr">
        <is>
          <t>Every credential and tool scoped to the minimum it needs. salt-hermes-infra (no wheel/runner) is the model to copy everywhere else.</t>
        </is>
      </c>
      <c r="D8" s="8" t="inlineStr">
        <is>
          <t>Partial</t>
        </is>
      </c>
      <c r="E8" s="8" t="inlineStr">
        <is>
          <t>04_Tool_MCP_Layer TM-11, 12_Security_Hardening SH-04 — only Salt's scope has actually been reviewed this way</t>
        </is>
      </c>
      <c r="F8" s="8" t="inlineStr">
        <is>
          <t>Security Reviewer</t>
        </is>
      </c>
    </row>
    <row r="9">
      <c r="A9" s="8" t="n">
        <v>5</v>
      </c>
      <c r="B9" s="8" t="inlineStr">
        <is>
          <t>One deployment per capability</t>
        </is>
      </c>
      <c r="C9" s="8" t="inlineStr">
        <is>
          <t>A given tool/capability exists in exactly one place. No copy-per-environment to keep in sync by hand.</t>
        </is>
      </c>
      <c r="D9" s="8" t="inlineStr">
        <is>
          <t>No</t>
        </is>
      </c>
      <c r="E9" s="8" t="inlineStr">
        <is>
          <t>vault_mcp.py is deployed 4x (hermes-vps, Claude Code, Codex, project .codex) — see TM-06 / SV-12</t>
        </is>
      </c>
      <c r="F9" s="8" t="inlineStr">
        <is>
          <t>Hermes Design Specialist</t>
        </is>
      </c>
    </row>
    <row r="10">
      <c r="A10" s="8" t="n">
        <v>6</v>
      </c>
      <c r="B10" s="8" t="inlineStr">
        <is>
          <t>Reproducible, not hand-built</t>
        </is>
      </c>
      <c r="C10" s="8" t="inlineStr">
        <is>
          <t>Infra/config changes are scripted and repeatable, not one-off manual edits nobody can redo identically.</t>
        </is>
      </c>
      <c r="D10" s="8" t="inlineStr">
        <is>
          <t>Partial</t>
        </is>
      </c>
      <c r="E10" s="8" t="inlineStr">
        <is>
          <t>01_Core_Runtime CR-13 — a raw YAML parse+dump already silently destroyed config.yaml's comments once</t>
        </is>
      </c>
      <c r="F10" s="8" t="inlineStr">
        <is>
          <t>Platform/SRE</t>
        </is>
      </c>
    </row>
    <row r="11">
      <c r="A11" s="8" t="n">
        <v>7</v>
      </c>
      <c r="B11" s="8" t="inlineStr">
        <is>
          <t>Secrets never in plaintext at rest outside the vault</t>
        </is>
      </c>
      <c r="C11" s="8" t="inlineStr">
        <is>
          <t>Every real credential lives only in the vault; config files and shares hold no plaintext secrets.</t>
        </is>
      </c>
      <c r="D11" s="8" t="inlineStr">
        <is>
          <t>No</t>
        </is>
      </c>
      <c r="E11" s="8" t="inlineStr">
        <is>
          <t>05_Secrets_Vault SV-08 — /Dockers share exposes every container's .env in plaintext by design</t>
        </is>
      </c>
      <c r="F11" s="8" t="inlineStr">
        <is>
          <t>Secrets Custodian</t>
        </is>
      </c>
    </row>
    <row r="12">
      <c r="A12" s="8" t="n">
        <v>8</v>
      </c>
      <c r="B12" s="8" t="inlineStr">
        <is>
          <t>Observable without SSH</t>
        </is>
      </c>
      <c r="C12" s="8" t="inlineStr">
        <is>
          <t>Every critical path (tunnel, local model, gateway, VPS) has a health signal a human can see without logging into a box.</t>
        </is>
      </c>
      <c r="D12" s="8" t="inlineStr">
        <is>
          <t>No</t>
        </is>
      </c>
      <c r="E12" s="8" t="inlineStr">
        <is>
          <t>09_Observability — no alerting or dashboard exists for any of these yet</t>
        </is>
      </c>
      <c r="F12" s="8" t="inlineStr">
        <is>
          <t>Observability</t>
        </is>
      </c>
    </row>
    <row r="13">
      <c r="A13" s="8" t="n">
        <v>9</v>
      </c>
      <c r="B13" s="8" t="inlineStr">
        <is>
          <t>Backups are tested, not just taken</t>
        </is>
      </c>
      <c r="C13" s="8" t="inlineStr">
        <is>
          <t>A backup that's never been restored is a hypothesis.</t>
        </is>
      </c>
      <c r="D13" s="8" t="inlineStr">
        <is>
          <t>No</t>
        </is>
      </c>
      <c r="E13" s="8" t="inlineStr">
        <is>
          <t>10_Backup_DR BD-05 — no restore has ever been tested, and hermes-vps itself isn't backed up at all (BD-02)</t>
        </is>
      </c>
      <c r="F13" s="8" t="inlineStr">
        <is>
          <t>Platform/SRE</t>
        </is>
      </c>
    </row>
    <row r="14">
      <c r="A14" s="8" t="n">
        <v>10</v>
      </c>
      <c r="B14" s="8" t="inlineStr">
        <is>
          <t>Repeatable promotion path for new capabilities</t>
        </is>
      </c>
      <c r="C14" s="8" t="inlineStr">
        <is>
          <t>Turning a home-network resource into a Hermes tool follows a documented playbook, not ad hoc judgment each time.</t>
        </is>
      </c>
      <c r="D14" s="8" t="inlineStr">
        <is>
          <t>No</t>
        </is>
      </c>
      <c r="E14" s="8" t="inlineStr">
        <is>
          <t>04_Tool_MCP_Layer TM-10, 13_Governance GV-01 — no playbook written yet</t>
        </is>
      </c>
      <c r="F14" s="8" t="inlineStr">
        <is>
          <t>Hermes Design Specialist</t>
        </is>
      </c>
    </row>
    <row r="15">
      <c r="A15" s="8" t="n">
        <v>11</v>
      </c>
      <c r="B15" s="8" t="inlineStr">
        <is>
          <t>Cost is visible and bounded</t>
        </is>
      </c>
      <c r="C15" s="8" t="inlineStr">
        <is>
          <t>Spend on every paid tier (Codex, Modal) is visible and capped, not discovered after the fact.</t>
        </is>
      </c>
      <c r="D15" s="8" t="inlineStr">
        <is>
          <t>Partial</t>
        </is>
      </c>
      <c r="E15" s="8" t="inlineStr">
        <is>
          <t>11_Cost_Subscriptions CS-04/CS-05 — Vultr and Plus are known; Modal and a total rollup are not</t>
        </is>
      </c>
      <c r="F15" s="8" t="inlineStr">
        <is>
          <t>Product Owner (Mark)</t>
        </is>
      </c>
    </row>
    <row r="16">
      <c r="A16" s="8" t="n">
        <v>12</v>
      </c>
      <c r="B16" s="8" t="inlineStr">
        <is>
          <t>Exposure is reviewed before it goes live, not after</t>
        </is>
      </c>
      <c r="C16" s="8" t="inlineStr">
        <is>
          <t>New network/tool exposure gets a security pass before shipping, not a retroactive audit.</t>
        </is>
      </c>
      <c r="D16" s="8" t="inlineStr">
        <is>
          <t>No</t>
        </is>
      </c>
      <c r="E16" s="8" t="inlineStr">
        <is>
          <t>12_Security_Hardening SH-02 — the gateway's unauthenticated-shell combination shipped and is still live</t>
        </is>
      </c>
      <c r="F16" s="8" t="inlineStr">
        <is>
          <t>Security Reviewer</t>
        </is>
      </c>
    </row>
    <row r="17">
      <c r="A17" s="8" t="n">
        <v>13</v>
      </c>
      <c r="B17" s="8" t="inlineStr">
        <is>
          <t>Changes are tracked</t>
        </is>
      </c>
      <c r="C17" s="8" t="inlineStr">
        <is>
          <t>Who changed hermes-vps's config, and when, is recorded somewhere durable.</t>
        </is>
      </c>
      <c r="D17" s="8" t="inlineStr">
        <is>
          <t>No</t>
        </is>
      </c>
      <c r="E17" s="8" t="inlineStr">
        <is>
          <t>13_Governance_Change_Mgmt GV-03 — no change log exists</t>
        </is>
      </c>
      <c r="F17" s="8" t="inlineStr">
        <is>
          <t>Hermes Design Specialist</t>
        </is>
      </c>
    </row>
  </sheetData>
  <mergeCells count="2">
    <mergeCell ref="A2:F2"/>
    <mergeCell ref="A1:F1"/>
  </mergeCells>
  <conditionalFormatting sqref="D5:D17">
    <cfRule type="cellIs" priority="1" operator="equal" dxfId="0">
      <formula>"No"</formula>
    </cfRule>
    <cfRule type="cellIs" priority="2" operator="equal" dxfId="1">
      <formula>"Partial"</formula>
    </cfRule>
    <cfRule type="cellIs" priority="3" operator="equal" dxfId="1">
      <formula>"Unverified"</formula>
    </cfRule>
    <cfRule type="cellIs" priority="4" operator="equal" dxfId="2">
      <formula>"Yes"</formula>
    </cfRule>
  </conditionalFormatting>
  <pageMargins left="0.75" right="0.75" top="1" bottom="1" header="0.5" footer="0.5"/>
</worksheet>
</file>

<file path=xl/worksheets/sheet3.xml><?xml version="1.0" encoding="utf-8"?>
<worksheet xmlns="http://schemas.openxmlformats.org/spreadsheetml/2006/main">
  <sheetPr>
    <tabColor rgb="000E7C7B"/>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26" customWidth="1" min="1" max="1"/>
    <col width="48" customWidth="1" min="2" max="2"/>
    <col width="40" customWidth="1" min="3" max="3"/>
    <col width="34" customWidth="1" min="4" max="4"/>
  </cols>
  <sheetData>
    <row r="1" ht="22" customHeight="1">
      <c r="A1" s="6" t="inlineStr">
        <is>
          <t>Roles</t>
        </is>
      </c>
    </row>
    <row r="2">
      <c r="A2" s="2" t="inlineStr">
        <is>
          <t>One person (you) plays all of these today — naming them separately keeps 'who approves this' and 'who's affected by this' distinct.</t>
        </is>
      </c>
    </row>
    <row r="4">
      <c r="A4" s="7" t="inlineStr">
        <is>
          <t>Role</t>
        </is>
      </c>
      <c r="B4" s="7" t="inlineStr">
        <is>
          <t>Charter</t>
        </is>
      </c>
      <c r="C4" s="7" t="inlineStr">
        <is>
          <t>Decides / owns</t>
        </is>
      </c>
      <c r="D4" s="7" t="inlineStr">
        <is>
          <t>Tabs where this role appears most</t>
        </is>
      </c>
    </row>
    <row r="5">
      <c r="A5" s="8" t="inlineStr">
        <is>
          <t>Hermes Design Specialist</t>
        </is>
      </c>
      <c r="B5" s="8" t="inlineStr">
        <is>
          <t>Guards architectural coherence — the one role whose job is to keep asking 'does this belong on the VPS or the home network, and does it match the Hermes Way standards.' Reviews any new capability BEFORE it's built, not after.</t>
        </is>
      </c>
      <c r="C5" s="8" t="inlineStr">
        <is>
          <t>Where a capability lives; whether scope creep (like Salt/MeshCentral) gets ratified or rolled back; final call on anything tagged Violation.</t>
        </is>
      </c>
      <c r="D5" s="8" t="inlineStr">
        <is>
          <t>00_Hermes_Way_Standards, 02_Identity_Memory, 06_Home_Network_Boundary, 13_Governance</t>
        </is>
      </c>
    </row>
    <row r="6">
      <c r="A6" s="8" t="inlineStr">
        <is>
          <t>Platform / SRE</t>
        </is>
      </c>
      <c r="B6" s="8" t="inlineStr">
        <is>
          <t>Keeps hermes-vps itself alive, patched, backed up, and reproducible.</t>
        </is>
      </c>
      <c r="C6" s="8" t="inlineStr">
        <is>
          <t>VPS infra, Dokploy, systemd services, backup/restore, patch cadence.</t>
        </is>
      </c>
      <c r="D6" s="8" t="inlineStr">
        <is>
          <t>01_Core_Runtime, 10_Backup_DR</t>
        </is>
      </c>
    </row>
    <row r="7">
      <c r="A7" s="8" t="inlineStr">
        <is>
          <t>Secrets Custodian</t>
        </is>
      </c>
      <c r="B7" s="8" t="inlineStr">
        <is>
          <t>Owns the vault end to end — what's in it, what's still outside it, rotation.</t>
        </is>
      </c>
      <c r="C7" s="8" t="inlineStr">
        <is>
          <t>What gets vaulted, in what order, and the rotation policy.</t>
        </is>
      </c>
      <c r="D7" s="8" t="inlineStr">
        <is>
          <t>05_Secrets_Vault</t>
        </is>
      </c>
    </row>
    <row r="8">
      <c r="A8" s="8" t="inlineStr">
        <is>
          <t>Model / Routing Engineer</t>
        </is>
      </c>
      <c r="B8" s="8" t="inlineStr">
        <is>
          <t>Owns the local-vs-Codex decision logic and the local runtime itself.</t>
        </is>
      </c>
      <c r="C8" s="8" t="inlineStr">
        <is>
          <t>Runtime/model choice on w_workstation; routing/judge behavior; the WireGuard-down fire drill.</t>
        </is>
      </c>
      <c r="D8" s="8" t="inlineStr">
        <is>
          <t>03_Model_Routing_Resilience, 07_Local_Inference</t>
        </is>
      </c>
    </row>
    <row r="9">
      <c r="A9" s="8" t="inlineStr">
        <is>
          <t>Security Reviewer</t>
        </is>
      </c>
      <c r="B9" s="8" t="inlineStr">
        <is>
          <t>Finds and closes exposure — the role that would have flagged the gateway shell-access combo before it shipped.</t>
        </is>
      </c>
      <c r="C9" s="8" t="inlineStr">
        <is>
          <t>Network exposure, least-privilege scoping, incident response.</t>
        </is>
      </c>
      <c r="D9" s="8" t="inlineStr">
        <is>
          <t>06_Home_Network_Boundary, 12_Security_Hardening</t>
        </is>
      </c>
    </row>
    <row r="10">
      <c r="A10" s="8" t="inlineStr">
        <is>
          <t>Home-Network Liaison</t>
        </is>
      </c>
      <c r="B10" s="8" t="inlineStr">
        <is>
          <t>Represents the home network's interests as a capability provider — keeps it from quietly becoming a second place Hermes 'lives.'</t>
        </is>
      </c>
      <c r="C10" s="8" t="inlineStr">
        <is>
          <t>What crosses the WireGuard tunnel and why; Salt/MeshCentral scope.</t>
        </is>
      </c>
      <c r="D10" s="8" t="inlineStr">
        <is>
          <t>06_Home_Network_Boundary, 07_Local_Inference, 04_Tool_MCP_Layer</t>
        </is>
      </c>
    </row>
    <row r="11">
      <c r="A11" s="8" t="inlineStr">
        <is>
          <t>Interface Engineer</t>
        </is>
      </c>
      <c r="B11" s="8" t="inlineStr">
        <is>
          <t>Owns every door into Hermes — web UI, Desktop, Telegram — and that they all lead to the same place.</t>
        </is>
      </c>
      <c r="C11" s="8" t="inlineStr">
        <is>
          <t>Auth mechanism, channel rollout, cross-interface continuity testing.</t>
        </is>
      </c>
      <c r="D11" s="8" t="inlineStr">
        <is>
          <t>08_Interfaces_Access</t>
        </is>
      </c>
    </row>
    <row r="12">
      <c r="A12" s="8" t="inlineStr">
        <is>
          <t>Observability</t>
        </is>
      </c>
      <c r="B12" s="8" t="inlineStr">
        <is>
          <t>Makes sure state is visible without SSH.</t>
        </is>
      </c>
      <c r="C12" s="8" t="inlineStr">
        <is>
          <t>What gets logged, alerted, and dashboarded.</t>
        </is>
      </c>
      <c r="D12" s="8" t="inlineStr">
        <is>
          <t>09_Observability</t>
        </is>
      </c>
    </row>
    <row r="13">
      <c r="A13" s="8" t="inlineStr">
        <is>
          <t>Product Owner (Mark)</t>
        </is>
      </c>
      <c r="B13" s="8" t="inlineStr">
        <is>
          <t>Final authority — approves spend, approves the finish line, decides when Claude Pro actually gets canceled.</t>
        </is>
      </c>
      <c r="C13" s="8" t="inlineStr">
        <is>
          <t>Budget, go/no-go on CS-03, which open risks are acceptable to carry.</t>
        </is>
      </c>
      <c r="D13" s="8" t="inlineStr">
        <is>
          <t>00_Scorecard, 11_Cost_Subscriptions</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tabColor rgb="000E7C7B"/>
    <outlinePr summaryBelow="1" summaryRight="1"/>
    <pageSetUpPr/>
  </sheetPr>
  <dimension ref="A1:E41"/>
  <sheetViews>
    <sheetView showGridLines="0" workbookViewId="0">
      <pane ySplit="4" topLeftCell="A5" activePane="bottomLeft" state="frozen"/>
      <selection pane="bottomLeft" activeCell="A1" sqref="A1"/>
    </sheetView>
  </sheetViews>
  <sheetFormatPr baseColWidth="8" defaultRowHeight="15"/>
  <cols>
    <col width="26" customWidth="1" min="1" max="1"/>
    <col width="38" customWidth="1" min="2" max="2"/>
    <col width="13" customWidth="1" min="3" max="3"/>
    <col width="14" customWidth="1" min="4" max="4"/>
    <col width="13" customWidth="1" min="5" max="5"/>
  </cols>
  <sheetData>
    <row r="1" ht="22" customHeight="1">
      <c r="A1" s="6" t="inlineStr">
        <is>
          <t>Scorecard — the point-based finish line</t>
        </is>
      </c>
    </row>
    <row r="2">
      <c r="A2" s="2" t="inlineStr">
        <is>
          <t>Points reflect how load-bearing a row is, not effort. Earned points update automatically as Status changes on each tab.</t>
        </is>
      </c>
    </row>
    <row r="4">
      <c r="A4" s="9" t="inlineStr">
        <is>
          <t>Tab</t>
        </is>
      </c>
      <c r="B4" s="9" t="inlineStr">
        <is>
          <t>Domain</t>
        </is>
      </c>
      <c r="C4" s="9" t="inlineStr">
        <is>
          <t>Total Points</t>
        </is>
      </c>
      <c r="D4" s="9" t="inlineStr">
        <is>
          <t>Points Earned</t>
        </is>
      </c>
      <c r="E4" s="9" t="inlineStr">
        <is>
          <t>% Complete</t>
        </is>
      </c>
    </row>
    <row r="5">
      <c r="A5" s="10" t="inlineStr">
        <is>
          <t>01_Core_Runtime</t>
        </is>
      </c>
      <c r="B5" s="10" t="inlineStr">
        <is>
          <t>Hermes Core Runtime</t>
        </is>
      </c>
      <c r="C5" s="10">
        <f>SUM('01_Core_Runtime'!G5:G51)</f>
        <v/>
      </c>
      <c r="D5" s="10">
        <f>SUM('01_Core_Runtime'!H5:H51)</f>
        <v/>
      </c>
      <c r="E5" s="11">
        <f>IFERROR(D5/C5,0)</f>
        <v/>
      </c>
    </row>
    <row r="6">
      <c r="A6" s="10" t="inlineStr">
        <is>
          <t>02_Identity_Memory</t>
        </is>
      </c>
      <c r="B6" s="10" t="inlineStr">
        <is>
          <t>Identity &amp; Memory Continuity</t>
        </is>
      </c>
      <c r="C6" s="10">
        <f>SUM('02_Identity_Memory'!G5:G43)</f>
        <v/>
      </c>
      <c r="D6" s="10">
        <f>SUM('02_Identity_Memory'!H5:H43)</f>
        <v/>
      </c>
      <c r="E6" s="11">
        <f>IFERROR(D6/C6,0)</f>
        <v/>
      </c>
    </row>
    <row r="7">
      <c r="A7" s="10" t="inlineStr">
        <is>
          <t>03_Model_Routing_Resilience</t>
        </is>
      </c>
      <c r="B7" s="10" t="inlineStr">
        <is>
          <t>Model, Provider &amp; Resilience</t>
        </is>
      </c>
      <c r="C7" s="10">
        <f>SUM('03_Model_Routing_Resilience'!G5:G47)</f>
        <v/>
      </c>
      <c r="D7" s="10">
        <f>SUM('03_Model_Routing_Resilience'!H5:H47)</f>
        <v/>
      </c>
      <c r="E7" s="11">
        <f>IFERROR(D7/C7,0)</f>
        <v/>
      </c>
    </row>
    <row r="8">
      <c r="A8" s="10" t="inlineStr">
        <is>
          <t>04_Tool_MCP_Layer</t>
        </is>
      </c>
      <c r="B8" s="10" t="inlineStr">
        <is>
          <t>Tool / MCP Capability Layer</t>
        </is>
      </c>
      <c r="C8" s="10">
        <f>SUM('04_Tool_MCP_Layer'!G5:G48)</f>
        <v/>
      </c>
      <c r="D8" s="10">
        <f>SUM('04_Tool_MCP_Layer'!H5:H48)</f>
        <v/>
      </c>
      <c r="E8" s="11">
        <f>IFERROR(D8/C8,0)</f>
        <v/>
      </c>
    </row>
    <row r="9">
      <c r="A9" s="10" t="inlineStr">
        <is>
          <t>05_Secrets_Vault</t>
        </is>
      </c>
      <c r="B9" s="10" t="inlineStr">
        <is>
          <t>Secrets &amp; Vault</t>
        </is>
      </c>
      <c r="C9" s="10">
        <f>SUM('05_Secrets_Vault'!G5:G49)</f>
        <v/>
      </c>
      <c r="D9" s="10">
        <f>SUM('05_Secrets_Vault'!H5:H49)</f>
        <v/>
      </c>
      <c r="E9" s="11">
        <f>IFERROR(D9/C9,0)</f>
        <v/>
      </c>
    </row>
    <row r="10">
      <c r="A10" s="10" t="inlineStr">
        <is>
          <t>06_Home_Network_Boundary</t>
        </is>
      </c>
      <c r="B10" s="10" t="inlineStr">
        <is>
          <t>Home-Network Capability Boundary</t>
        </is>
      </c>
      <c r="C10" s="10">
        <f>SUM('06_Home_Network_Boundary'!G5:G42)</f>
        <v/>
      </c>
      <c r="D10" s="10">
        <f>SUM('06_Home_Network_Boundary'!H5:H42)</f>
        <v/>
      </c>
      <c r="E10" s="11">
        <f>IFERROR(D10/C10,0)</f>
        <v/>
      </c>
    </row>
    <row r="11">
      <c r="A11" s="10" t="inlineStr">
        <is>
          <t>07_Local_Inference</t>
        </is>
      </c>
      <c r="B11" s="10" t="inlineStr">
        <is>
          <t>Local Inference Tier</t>
        </is>
      </c>
      <c r="C11" s="10">
        <f>SUM('07_Local_Inference'!G5:G46)</f>
        <v/>
      </c>
      <c r="D11" s="10">
        <f>SUM('07_Local_Inference'!H5:H46)</f>
        <v/>
      </c>
      <c r="E11" s="11">
        <f>IFERROR(D11/C11,0)</f>
        <v/>
      </c>
    </row>
    <row r="12">
      <c r="A12" s="10" t="inlineStr">
        <is>
          <t>08_Interfaces_Access</t>
        </is>
      </c>
      <c r="B12" s="10" t="inlineStr">
        <is>
          <t>Interfaces &amp; Access Paths</t>
        </is>
      </c>
      <c r="C12" s="10">
        <f>SUM('08_Interfaces_Access'!G5:G44)</f>
        <v/>
      </c>
      <c r="D12" s="10">
        <f>SUM('08_Interfaces_Access'!H5:H44)</f>
        <v/>
      </c>
      <c r="E12" s="11">
        <f>IFERROR(D12/C12,0)</f>
        <v/>
      </c>
    </row>
    <row r="13">
      <c r="A13" s="10" t="inlineStr">
        <is>
          <t>09_Observability</t>
        </is>
      </c>
      <c r="B13" s="10" t="inlineStr">
        <is>
          <t>Observability</t>
        </is>
      </c>
      <c r="C13" s="10">
        <f>SUM('09_Observability'!G5:G40)</f>
        <v/>
      </c>
      <c r="D13" s="10">
        <f>SUM('09_Observability'!H5:H40)</f>
        <v/>
      </c>
      <c r="E13" s="11">
        <f>IFERROR(D13/C13,0)</f>
        <v/>
      </c>
    </row>
    <row r="14">
      <c r="A14" s="10" t="inlineStr">
        <is>
          <t>10_Backup_DR</t>
        </is>
      </c>
      <c r="B14" s="10" t="inlineStr">
        <is>
          <t>Backup &amp; Disaster Recovery</t>
        </is>
      </c>
      <c r="C14" s="10">
        <f>SUM('10_Backup_DR'!G5:G40)</f>
        <v/>
      </c>
      <c r="D14" s="10">
        <f>SUM('10_Backup_DR'!H5:H40)</f>
        <v/>
      </c>
      <c r="E14" s="11">
        <f>IFERROR(D14/C14,0)</f>
        <v/>
      </c>
    </row>
    <row r="15">
      <c r="A15" s="10" t="inlineStr">
        <is>
          <t>11_Cost_Subscriptions</t>
        </is>
      </c>
      <c r="B15" s="10" t="inlineStr">
        <is>
          <t>Cost &amp; Subscriptions</t>
        </is>
      </c>
      <c r="C15" s="10">
        <f>SUM('11_Cost_Subscriptions'!G5:G40)</f>
        <v/>
      </c>
      <c r="D15" s="10">
        <f>SUM('11_Cost_Subscriptions'!H5:H40)</f>
        <v/>
      </c>
      <c r="E15" s="11">
        <f>IFERROR(D15/C15,0)</f>
        <v/>
      </c>
    </row>
    <row r="16">
      <c r="A16" s="10" t="inlineStr">
        <is>
          <t>12_Security_Hardening</t>
        </is>
      </c>
      <c r="B16" s="10" t="inlineStr">
        <is>
          <t>Security &amp; Hardening</t>
        </is>
      </c>
      <c r="C16" s="10">
        <f>SUM('12_Security_Hardening'!G5:G42)</f>
        <v/>
      </c>
      <c r="D16" s="10">
        <f>SUM('12_Security_Hardening'!H5:H42)</f>
        <v/>
      </c>
      <c r="E16" s="11">
        <f>IFERROR(D16/C16,0)</f>
        <v/>
      </c>
    </row>
    <row r="17">
      <c r="A17" s="10" t="inlineStr">
        <is>
          <t>13_Governance_Change_Mgmt</t>
        </is>
      </c>
      <c r="B17" s="10" t="inlineStr">
        <is>
          <t>Governance &amp; Change Management</t>
        </is>
      </c>
      <c r="C17" s="10">
        <f>SUM('13_Governance_Change_Mgmt'!G5:G40)</f>
        <v/>
      </c>
      <c r="D17" s="10">
        <f>SUM('13_Governance_Change_Mgmt'!H5:H40)</f>
        <v/>
      </c>
      <c r="E17" s="11">
        <f>IFERROR(D17/C17,0)</f>
        <v/>
      </c>
    </row>
    <row r="18">
      <c r="A18" s="10" t="inlineStr">
        <is>
          <t>14_Claude_Code_Parity</t>
        </is>
      </c>
      <c r="B18" s="10" t="inlineStr">
        <is>
          <t>Claude Code → Hermes Parity</t>
        </is>
      </c>
      <c r="C18" s="10">
        <f>SUM('14_Claude_Code_Parity'!G5:G46)</f>
        <v/>
      </c>
      <c r="D18" s="10">
        <f>SUM('14_Claude_Code_Parity'!H5:H46)</f>
        <v/>
      </c>
      <c r="E18" s="11">
        <f>IFERROR(D18/C18,0)</f>
        <v/>
      </c>
    </row>
    <row r="19">
      <c r="A19" s="10" t="inlineStr">
        <is>
          <t>15_Productivity_And_Acceptance</t>
        </is>
      </c>
      <c r="B19" s="10" t="inlineStr">
        <is>
          <t>Productivity &amp; Acceptance Testing</t>
        </is>
      </c>
      <c r="C19" s="10">
        <f>SUM('15_Productivity_And_Acceptance'!G5:G46)</f>
        <v/>
      </c>
      <c r="D19" s="10">
        <f>SUM('15_Productivity_And_Acceptance'!H5:H46)</f>
        <v/>
      </c>
      <c r="E19" s="11">
        <f>IFERROR(D19/C19,0)</f>
        <v/>
      </c>
    </row>
    <row r="20">
      <c r="A20" s="12" t="inlineStr">
        <is>
          <t>GRAND TOTAL</t>
        </is>
      </c>
      <c r="B20" s="13" t="n"/>
      <c r="C20" s="12">
        <f>SUM(C5:C19)</f>
        <v/>
      </c>
      <c r="D20" s="12">
        <f>SUM(D5:D19)</f>
        <v/>
      </c>
      <c r="E20" s="14">
        <f>IFERROR(D20/C20,0)</f>
        <v/>
      </c>
    </row>
    <row r="22">
      <c r="A22" s="15" t="inlineStr">
        <is>
          <t>FINISH LINE</t>
        </is>
      </c>
    </row>
    <row r="23" ht="30" customHeight="1">
      <c r="A23" s="16" t="inlineStr">
        <is>
          <t>Hermes is 'fully realized' when ALL of the following are true at once — not just an overall percentage:</t>
        </is>
      </c>
    </row>
    <row r="24" ht="30" customHeight="1">
      <c r="A24" s="16" t="inlineStr">
        <is>
          <t xml:space="preserve">  1. Grand Total % Complete above is 100%, or every remaining open row has a deliberate, written decision to leave it for later.</t>
        </is>
      </c>
    </row>
    <row r="25" ht="30" customHeight="1">
      <c r="A25" s="16" t="inlineStr">
        <is>
          <t xml:space="preserve">  2. 03_Model_Routing_Resilience row MR-05 (WireGuard-down fire drill) is Done — this is the actual proof of the core promise.</t>
        </is>
      </c>
    </row>
    <row r="26" ht="30" customHeight="1">
      <c r="A26" s="16" t="inlineStr">
        <is>
          <t xml:space="preserve">  3. 02_Identity_Memory rows IM-01 through IM-04 are Done — same Hermes, every interface, every location.</t>
        </is>
      </c>
    </row>
    <row r="27" ht="30" customHeight="1">
      <c r="A27" s="16" t="inlineStr">
        <is>
          <t xml:space="preserve">  4. 14_Claude_Code_Parity row CCP-12 is Done — Hermes can maintain this project itself, so Claude Code's bootstrap role actually ends, not just gets described as temporary.</t>
        </is>
      </c>
    </row>
    <row r="28" ht="30" customHeight="1">
      <c r="A28" s="16" t="inlineStr">
        <is>
          <t xml:space="preserve">  5. Only then: 11_Cost_Subscriptions CS-03 (cancel Claude Pro) gets executed.</t>
        </is>
      </c>
    </row>
    <row r="30">
      <c r="A30" s="15" t="inlineStr">
        <is>
          <t>LEGACY GOALS (catalog G1-G9) MAPPED TO THIS WORKBOOK</t>
        </is>
      </c>
    </row>
    <row r="31">
      <c r="A31" s="9" t="inlineStr">
        <is>
          <t>Goal</t>
        </is>
      </c>
      <c r="B31" s="9" t="inlineStr">
        <is>
          <t>Catalog status</t>
        </is>
      </c>
      <c r="C31" s="9" t="inlineStr">
        <is>
          <t>Detail</t>
        </is>
      </c>
      <c r="D31" s="17" t="n"/>
      <c r="E31" s="18" t="n"/>
    </row>
    <row r="33" ht="44" customHeight="1">
      <c r="A33" s="8" t="inlineStr">
        <is>
          <t>G1 — Hermes &lt;-&gt; local model, one real exchange</t>
        </is>
      </c>
      <c r="B33" s="8" t="inlineStr">
        <is>
          <t>in_progress</t>
        </is>
      </c>
      <c r="C33" s="8" t="inlineStr">
        <is>
          <t>Required: confirmed reachable + one real exchange with the local model. Lives in 03_Model_Routing_Resilience; will need re-verification once 07_Local_Inference's runtime changes.</t>
        </is>
      </c>
      <c r="D33" s="17" t="n"/>
      <c r="E33" s="18" t="n"/>
    </row>
    <row r="34" ht="44" customHeight="1">
      <c r="A34" s="8" t="inlineStr">
        <is>
          <t>G2 — local runtime serving multiple models concurrently</t>
        </is>
      </c>
      <c r="B34" s="8" t="inlineStr">
        <is>
          <t>done (stale)</t>
        </is>
      </c>
      <c r="C34" s="8" t="inlineStr">
        <is>
          <t>Required: verified on Ollama, multiple qwen3-vl variants loaded. Lives in 07_Local_Inference LI-03/LI-04 — must be re-proven on whichever runtime replaces Ollama.</t>
        </is>
      </c>
      <c r="D34" s="17" t="n"/>
      <c r="E34" s="18" t="n"/>
    </row>
    <row r="35" ht="44" customHeight="1">
      <c r="A35" s="8" t="inlineStr">
        <is>
          <t>G3 — VPS provisioned, hermes serve running</t>
        </is>
      </c>
      <c r="B35" s="8" t="inlineStr">
        <is>
          <t>done</t>
        </is>
      </c>
      <c r="C35" s="8" t="inlineStr">
        <is>
          <t>Required: box up, agent process live. Lives in 01_Core_Runtime CR-01 to CR-03.</t>
        </is>
      </c>
      <c r="D35" s="17" t="n"/>
      <c r="E35" s="18" t="n"/>
    </row>
    <row r="36" ht="44" customHeight="1">
      <c r="A36" s="8" t="inlineStr">
        <is>
          <t>G4 — WireGuard tunnel, LAN reachable from VPS</t>
        </is>
      </c>
      <c r="B36" s="8" t="inlineStr">
        <is>
          <t>done</t>
        </is>
      </c>
      <c r="C36" s="8" t="inlineStr">
        <is>
          <t>Required: tunnel + subnet routing, verified end-to-end. Lives in 06_Home_Network_Boundary HN-01/HN-02.</t>
        </is>
      </c>
      <c r="D36" s="17" t="n"/>
      <c r="E36" s="18" t="n"/>
    </row>
    <row r="37" ht="44" customHeight="1">
      <c r="A37" s="8" t="inlineStr">
        <is>
          <t>G5 — ChatGPT Plus linked, Codex used for real task</t>
        </is>
      </c>
      <c r="B37" s="8" t="inlineStr">
        <is>
          <t>done</t>
        </is>
      </c>
      <c r="C37" s="8" t="inlineStr">
        <is>
          <t>Required: native link+code flow, one real coding task. Lives in 03_Model_Routing_Resilience MR-01.</t>
        </is>
      </c>
      <c r="D37" s="17" t="n"/>
      <c r="E37" s="18" t="n"/>
    </row>
    <row r="38" ht="44" customHeight="1">
      <c r="A38" s="8" t="inlineStr">
        <is>
          <t>G6 — Hermes Desktop on laptop, same experience 2 locations</t>
        </is>
      </c>
      <c r="B38" s="8" t="inlineStr">
        <is>
          <t>not_started</t>
        </is>
      </c>
      <c r="C38" s="8" t="inlineStr">
        <is>
          <t>Required: Desktop pointed at VPS backend, proven identical from two places. Lives in 08_Interfaces_Access IA-03/IA-04, blocked on 02_Identity_Memory IM-03.</t>
        </is>
      </c>
      <c r="D38" s="17" t="n"/>
      <c r="E38" s="18" t="n"/>
    </row>
    <row r="39" ht="44" customHeight="1">
      <c r="A39" s="8" t="inlineStr">
        <is>
          <t>G7 — Telegram wired up</t>
        </is>
      </c>
      <c r="B39" s="8" t="inlineStr">
        <is>
          <t>not_started</t>
        </is>
      </c>
      <c r="C39" s="8" t="inlineStr">
        <is>
          <t>Required: a real messaging channel on top of hermes-gateway. Lives in 08_Interfaces_Access IA-05.</t>
        </is>
      </c>
      <c r="D39" s="17" t="n"/>
      <c r="E39" s="18" t="n"/>
    </row>
    <row r="40" ht="44" customHeight="1">
      <c r="A40" s="8" t="inlineStr">
        <is>
          <t>G8 — local-first routing verified end-to-end</t>
        </is>
      </c>
      <c r="B40" s="8" t="inlineStr">
        <is>
          <t>not_started (likely already true, never marked)</t>
        </is>
      </c>
      <c r="C40" s="8" t="inlineStr">
        <is>
          <t>Required: one prompt stays local, one escalates, both observed. The router-llm-as-judge-rebuild-2026-09-28 catalog entry already shows this happened — update the catalog goal's status field to match.</t>
        </is>
      </c>
      <c r="D40" s="17" t="n"/>
      <c r="E40" s="18" t="n"/>
    </row>
    <row r="41" ht="44" customHeight="1">
      <c r="A41" s="8" t="inlineStr">
        <is>
          <t>G9 — Claude Pro canceled</t>
        </is>
      </c>
      <c r="B41" s="8" t="inlineStr">
        <is>
          <t>not_started</t>
        </is>
      </c>
      <c r="C41" s="8" t="inlineStr">
        <is>
          <t>Required: cancel once ChatGPT Plus/Codex covers the same ground. Lives in 11_Cost_Subscriptions CS-03 — the literal finish line.</t>
        </is>
      </c>
      <c r="D41" s="17" t="n"/>
      <c r="E41" s="18" t="n"/>
    </row>
  </sheetData>
  <mergeCells count="18">
    <mergeCell ref="C36:E36"/>
    <mergeCell ref="C33:E33"/>
    <mergeCell ref="A26:E26"/>
    <mergeCell ref="A24:E24"/>
    <mergeCell ref="A2:E2"/>
    <mergeCell ref="C37:E37"/>
    <mergeCell ref="C41:E41"/>
    <mergeCell ref="C31:E31"/>
    <mergeCell ref="A25:E25"/>
    <mergeCell ref="A28:E28"/>
    <mergeCell ref="C39:E39"/>
    <mergeCell ref="C40:E40"/>
    <mergeCell ref="A1:E1"/>
    <mergeCell ref="A23:E23"/>
    <mergeCell ref="C35:E35"/>
    <mergeCell ref="C34:E34"/>
    <mergeCell ref="A27:E27"/>
    <mergeCell ref="C38:E38"/>
  </mergeCells>
  <conditionalFormatting sqref="E5:E20">
    <cfRule type="dataBar" priority="1">
      <dataBar>
        <cfvo type="num" val="0"/>
        <cfvo type="num" val="1"/>
        <color rgb="000E7C7B"/>
      </dataBar>
    </cfRule>
  </conditionalFormatting>
  <pageMargins left="0.75" right="0.75" top="1" bottom="1" header="0.5" footer="0.5"/>
</worksheet>
</file>

<file path=xl/worksheets/sheet5.xml><?xml version="1.0" encoding="utf-8"?>
<worksheet xmlns="http://schemas.openxmlformats.org/spreadsheetml/2006/main">
  <sheetPr>
    <tabColor rgb="000E7C7B"/>
    <outlinePr summaryBelow="1" summaryRight="1"/>
    <pageSetUpPr/>
  </sheetPr>
  <dimension ref="A1:J5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Hermes Core Runtime</t>
        </is>
      </c>
    </row>
    <row r="2" ht="16" customHeight="1">
      <c r="A2" s="2" t="inlineStr">
        <is>
          <t>What IS Hermes — must run on hermes-vps only, never on a home box or a laptop.</t>
        </is>
      </c>
    </row>
    <row r="3"/>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CR-01</t>
        </is>
      </c>
      <c r="B5" s="8" t="inlineStr">
        <is>
          <t>VPS provisioned</t>
        </is>
      </c>
      <c r="C5" s="8" t="inlineStr">
        <is>
          <t>Vultr High Performance AMD, Dallas TX — 2 vCPU / 4GB RAM / 100GB NVMe.</t>
        </is>
      </c>
      <c r="D5" s="8" t="inlineStr">
        <is>
          <t>Hermes-VPS</t>
        </is>
      </c>
      <c r="E5" s="8" t="inlineStr">
        <is>
          <t>Done</t>
        </is>
      </c>
      <c r="F5" s="8" t="inlineStr">
        <is>
          <t>hermes-vps live host</t>
        </is>
      </c>
      <c r="G5" s="8" t="n">
        <v>5</v>
      </c>
      <c r="H5" s="8">
        <f>IF(E5="Done",G5,IF(E5="Partial",G5*0.5,0))</f>
        <v/>
      </c>
      <c r="I5" s="8" t="inlineStr">
        <is>
          <t>Platform/SRE</t>
        </is>
      </c>
      <c r="J5" s="8" t="inlineStr"/>
    </row>
    <row r="6">
      <c r="A6" s="8" t="inlineStr">
        <is>
          <t>CR-02</t>
        </is>
      </c>
      <c r="B6" s="8" t="inlineStr">
        <is>
          <t>HermesAgent installed on a supported channel</t>
        </is>
      </c>
      <c r="C6" s="8" t="inlineStr">
        <is>
          <t>Originally v0.19.0 via pip/uv-tool (unsupported channel, 7 versions behind, vulnerable to CVE-2026-71963 RCE). Migrated 2026-09-29 to the supported install.sh/git channel, now v0.21.5+ — RCE fixed, all dependency CVEs cleared, re-verified end-to-end post-migration.</t>
        </is>
      </c>
      <c r="D6" s="8" t="inlineStr">
        <is>
          <t>Hermes-VPS</t>
        </is>
      </c>
      <c r="E6" s="8" t="inlineStr">
        <is>
          <t>Done</t>
        </is>
      </c>
      <c r="F6" s="8" t="inlineStr">
        <is>
          <t>hermes-migrated-to-supported-install-2026-09-29</t>
        </is>
      </c>
      <c r="G6" s="8" t="n">
        <v>5</v>
      </c>
      <c r="H6" s="8">
        <f>IF(E6="Done",G6,IF(E6="Partial",G6*0.5,0))</f>
        <v/>
      </c>
      <c r="I6" s="8" t="inlineStr">
        <is>
          <t>Platform/SRE</t>
        </is>
      </c>
      <c r="J6" s="8" t="inlineStr"/>
    </row>
    <row r="7">
      <c r="A7" s="8" t="inlineStr">
        <is>
          <t>CR-03</t>
        </is>
      </c>
      <c r="B7" s="8" t="inlineStr">
        <is>
          <t>hermes-gateway running persistently</t>
        </is>
      </c>
      <c r="C7" s="8" t="inlineStr">
        <is>
          <t>systemd service, survives reboot, no login dependency.</t>
        </is>
      </c>
      <c r="D7" s="8" t="inlineStr">
        <is>
          <t>Hermes-VPS</t>
        </is>
      </c>
      <c r="E7" s="8" t="inlineStr">
        <is>
          <t>Done</t>
        </is>
      </c>
      <c r="F7" s="8" t="inlineStr">
        <is>
          <t>hermes-gateway.service (system-level unit, /etc/systemd/system, multi-user.target.wants) + real reboot 2026-10-05 17:5x UTC: active again at 17:57:00 with no login session (who=empty), dashboard HTTP 302 reachable</t>
        </is>
      </c>
      <c r="G7" s="8" t="n">
        <v>8</v>
      </c>
      <c r="H7" s="8">
        <f>IF(E7="Done",G7,IF(E7="Partial",G7*0.5,0))</f>
        <v/>
      </c>
      <c r="I7" s="8" t="inlineStr">
        <is>
          <t>Platform/SRE</t>
        </is>
      </c>
      <c r="J7" s="8" t="inlineStr">
        <is>
          <t>VERIFIED 2026-10-05: confirmed it's a system-level unit (not systemctl --user), so Linger was not actually load-bearing here (enabled it anyway on hermes user, harmless). Performed a real `reboot` of hermes-vps; service came back active automatically with zero logged-in sessions, dashboard responded post-boot. Reboot survival genuinely confirmed, not just systemctl status.</t>
        </is>
      </c>
    </row>
    <row r="8">
      <c r="A8" s="8" t="inlineStr">
        <is>
          <t>CR-04</t>
        </is>
      </c>
      <c r="B8" s="8" t="inlineStr">
        <is>
          <t>VPS firewall active</t>
        </is>
      </c>
      <c r="C8" s="8" t="inlineStr">
        <is>
          <t>Real firewall rules in place (previously none at all).</t>
        </is>
      </c>
      <c r="D8" s="8" t="inlineStr">
        <is>
          <t>Hermes-VPS</t>
        </is>
      </c>
      <c r="E8" s="8" t="inlineStr">
        <is>
          <t>Done</t>
        </is>
      </c>
      <c r="F8" s="8" t="inlineStr">
        <is>
          <t>hermes-vps ufw/iptables</t>
        </is>
      </c>
      <c r="G8" s="8" t="n">
        <v>8</v>
      </c>
      <c r="H8" s="8">
        <f>IF(E8="Done",G8,IF(E8="Partial",G8*0.5,0))</f>
        <v/>
      </c>
      <c r="I8" s="8" t="inlineStr">
        <is>
          <t>Security Reviewer</t>
        </is>
      </c>
      <c r="J8" s="8" t="inlineStr"/>
    </row>
    <row r="9">
      <c r="A9" s="8" t="inlineStr">
        <is>
          <t>CR-05</t>
        </is>
      </c>
      <c r="B9" s="8" t="inlineStr">
        <is>
          <t>Docker + Dokploy installed</t>
        </is>
      </c>
      <c r="C9" s="8" t="inlineStr">
        <is>
          <t>Dokploy's own Traefik disabled to avoid conflicting with Caddy on 80/443.</t>
        </is>
      </c>
      <c r="D9" s="8" t="inlineStr">
        <is>
          <t>Hermes-VPS</t>
        </is>
      </c>
      <c r="E9" s="8" t="inlineStr">
        <is>
          <t>Done</t>
        </is>
      </c>
      <c r="F9" s="8" t="inlineStr">
        <is>
          <t>hermes-vps, Dokploy panel :3000 localhost-only</t>
        </is>
      </c>
      <c r="G9" s="8" t="n">
        <v>8</v>
      </c>
      <c r="H9" s="8">
        <f>IF(E9="Done",G9,IF(E9="Partial",G9*0.5,0))</f>
        <v/>
      </c>
      <c r="I9" s="8" t="inlineStr">
        <is>
          <t>Platform/SRE</t>
        </is>
      </c>
      <c r="J9" s="8" t="inlineStr"/>
    </row>
    <row r="10">
      <c r="A10" s="8" t="inlineStr">
        <is>
          <t>CR-06</t>
        </is>
      </c>
      <c r="B10" s="8" t="inlineStr">
        <is>
          <t>Dokploy admin credential in vault</t>
        </is>
      </c>
      <c r="C10" s="8" t="inlineStr">
        <is>
          <t>Panel login currently wherever it was set at install, not confirmed migrated.</t>
        </is>
      </c>
      <c r="D10" s="8" t="inlineStr">
        <is>
          <t>Hermes-VPS</t>
        </is>
      </c>
      <c r="E10" s="8" t="inlineStr">
        <is>
          <t>Done</t>
        </is>
      </c>
      <c r="F10" s="8" t="inlineStr">
        <is>
          <t>vault: hermes-vps-dokploy-admin (mark.stephen.guy@gmail.com), first-run signup completed 2026-10-06, session verified via /api/auth/get-session</t>
        </is>
      </c>
      <c r="G10" s="8" t="n">
        <v>5</v>
      </c>
      <c r="H10" s="8">
        <f>IF(E10="Done",G10,IF(E10="Partial",G10*0.5,0))</f>
        <v/>
      </c>
      <c r="I10" s="8" t="inlineStr">
        <is>
          <t>Secrets Custodian</t>
        </is>
      </c>
      <c r="J10" s="8" t="inlineStr">
        <is>
          <t>Dokploy had zero users - completed first-run signup via its /api/auth/sign-up/email API directly, verified session is valid.</t>
        </is>
      </c>
    </row>
    <row r="11">
      <c r="A11" s="8" t="inlineStr">
        <is>
          <t>CR-07</t>
        </is>
      </c>
      <c r="B11" s="8" t="inlineStr">
        <is>
          <t>Dokploy exercised end-to-end</t>
        </is>
      </c>
      <c r="C11" s="8" t="inlineStr">
        <is>
          <t>Prove Hermes can actually deploy/manage a real container via Dokploy, not just have it installed.</t>
        </is>
      </c>
      <c r="D11" s="8" t="inlineStr">
        <is>
          <t>Hermes-VPS</t>
        </is>
      </c>
      <c r="E11" s="8" t="inlineStr">
        <is>
          <t>Done</t>
        </is>
      </c>
      <c r="F11" s="8" t="inlineStr">
        <is>
          <t>Dokploy project 'hermes-cr07-test' -&gt; application 'cr07-throwaway' -&gt; docker image hello-world:latest, deployed as a real Swarm service (docker service ls confirmed), deployment status 'done', then deleted via API (application.delete + project.remove).</t>
        </is>
      </c>
      <c r="G11" s="8" t="n">
        <v>10</v>
      </c>
      <c r="H11" s="8">
        <f>IF(E11="Done",G11,IF(E11="Partial",G11*0.5,0))</f>
        <v/>
      </c>
      <c r="I11" s="8" t="inlineStr">
        <is>
          <t>Platform/SRE</t>
        </is>
      </c>
      <c r="J11" s="8" t="inlineStr">
        <is>
          <t>Exercised via Dokploy's tRPC API directly (project.create -&gt; application.create -&gt; saveDockerProvider -&gt; deploy), not Hermes's own terminal tool (which runs in an ephemeral sandboxed container with no docker access - confirmed during CR-08 attempt). Cleaned up immediately after confirming.</t>
        </is>
      </c>
    </row>
    <row r="12">
      <c r="A12" s="8" t="inlineStr">
        <is>
          <t>CR-08</t>
        </is>
      </c>
      <c r="B12" s="8" t="inlineStr">
        <is>
          <t>Hermes-hosted web presence</t>
        </is>
      </c>
      <c r="C12" s="8" t="inlineStr">
        <is>
          <t>Hermes deploys and serves a web page it built itself — the literal 'agent can host a web page' capability from ARCHITECTURE.md.</t>
        </is>
      </c>
      <c r="D12" s="8" t="inlineStr">
        <is>
          <t>Hermes-VPS</t>
        </is>
      </c>
      <c r="E12" s="8" t="inlineStr">
        <is>
          <t>Not Started</t>
        </is>
      </c>
      <c r="F12" s="8" t="inlineStr"/>
      <c r="G12" s="8" t="n">
        <v>10</v>
      </c>
      <c r="H12" s="8">
        <f>IF(E12="Done",G12,IF(E12="Partial",G12*0.5,0))</f>
        <v/>
      </c>
      <c r="I12" s="8" t="inlineStr">
        <is>
          <t>Hermes Design Specialist</t>
        </is>
      </c>
      <c r="J12" s="8" t="inlineStr"/>
    </row>
    <row r="13">
      <c r="A13" s="8" t="inlineStr">
        <is>
          <t>CR-09</t>
        </is>
      </c>
      <c r="B13" s="8" t="inlineStr">
        <is>
          <t>hermes-vps registered in catalog hosts/services tables</t>
        </is>
      </c>
      <c r="C13" s="8" t="inlineStr">
        <is>
          <t>Currently only described in free-text entities + ARCHITECTURE.md — no structured row, so infra tooling has zero visibility into VPS state.</t>
        </is>
      </c>
      <c r="D13" s="8" t="inlineStr">
        <is>
          <t>Hermes-VPS</t>
        </is>
      </c>
      <c r="E13" s="8" t="inlineStr">
        <is>
          <t>Done</t>
        </is>
      </c>
      <c r="F13" s="8" t="inlineStr">
        <is>
          <t>catalog host id 7 (hermes-vps) + 5 service rows (hermes-gateway, complexity-router, Caddy, Dokploy, WireGuard wg0) added 2026-10-06</t>
        </is>
      </c>
      <c r="G13" s="8" t="n">
        <v>8</v>
      </c>
      <c r="H13" s="8">
        <f>IF(E13="Done",G13,IF(E13="Partial",G13*0.5,0))</f>
        <v/>
      </c>
      <c r="I13" s="8" t="inlineStr">
        <is>
          <t>Platform/SRE</t>
        </is>
      </c>
      <c r="J13" s="8" t="inlineStr">
        <is>
          <t>Registered via PostgREST. Dokploy service row notes CR-06 as the remaining gap (admin credential not recoverable from docker env/logs).</t>
        </is>
      </c>
    </row>
    <row r="14">
      <c r="A14" s="8" t="inlineStr">
        <is>
          <t>CR-10</t>
        </is>
      </c>
      <c r="B14" s="8" t="inlineStr">
        <is>
          <t>OS/package patch cadence defined</t>
        </is>
      </c>
      <c r="C14" s="8" t="inlineStr">
        <is>
          <t>No documented policy for when/how the VPS gets security patches.</t>
        </is>
      </c>
      <c r="D14" s="8" t="inlineStr">
        <is>
          <t>Hermes-VPS</t>
        </is>
      </c>
      <c r="E14" s="8" t="inlineStr">
        <is>
          <t>Done</t>
        </is>
      </c>
      <c r="F14" s="8" t="inlineStr">
        <is>
          <t>systemctl is-enabled unattended-upgrades = enabled; /etc/apt/apt.conf.d/20auto-upgrades has Update-Package-Lists=1, Unattended-Upgrade=1</t>
        </is>
      </c>
      <c r="G14" s="8" t="n">
        <v>5</v>
      </c>
      <c r="H14" s="8">
        <f>IF(E14="Done",G14,IF(E14="Partial",G14*0.5,0))</f>
        <v/>
      </c>
      <c r="I14" s="8" t="inlineStr">
        <is>
          <t>Platform/SRE</t>
        </is>
      </c>
      <c r="J14" s="8" t="inlineStr">
        <is>
          <t>Already active on the Vultr image by default - verified 2026-10-06, not something that needed building.</t>
        </is>
      </c>
    </row>
    <row r="15">
      <c r="A15" s="8" t="inlineStr">
        <is>
          <t>CR-11</t>
        </is>
      </c>
      <c r="B15" s="8" t="inlineStr">
        <is>
          <t>hermes-agent version pin + upgrade process</t>
        </is>
      </c>
      <c r="C15" s="8" t="inlineStr">
        <is>
          <t>What triggers an upgrade, how it's tested before cutover.</t>
        </is>
      </c>
      <c r="D15" s="8" t="inlineStr">
        <is>
          <t>Hermes-VPS</t>
        </is>
      </c>
      <c r="E15" s="8" t="inlineStr">
        <is>
          <t>Done</t>
        </is>
      </c>
      <c r="F15" s="8" t="inlineStr">
        <is>
          <t>policy logged to catalog 2026-10-06</t>
        </is>
      </c>
      <c r="G15" s="8" t="n">
        <v>5</v>
      </c>
      <c r="H15" s="8">
        <f>IF(E15="Done",G15,IF(E15="Partial",G15*0.5,0))</f>
        <v/>
      </c>
      <c r="I15" s="8" t="inlineStr">
        <is>
          <t>Platform/SRE</t>
        </is>
      </c>
      <c r="J15" s="8" t="inlineStr">
        <is>
          <t>POLICY: upgrade is manual, triggered only when a specific needed fix/feature requires it (not merely 'commits behind'). After hermes update: re-run hermes doctor + hermes security audit, confirm hermes-gateway and complexity-router still active, before considering the upgrade final.</t>
        </is>
      </c>
    </row>
    <row r="16">
      <c r="A16" s="8" t="inlineStr">
        <is>
          <t>CR-12</t>
        </is>
      </c>
      <c r="B16" s="8" t="inlineStr">
        <is>
          <t>Resource headroom monitored</t>
        </is>
      </c>
      <c r="C16" s="8" t="inlineStr">
        <is>
          <t>4GB RAM is tight once more MCP servers/venvs stack up — needs a ceiling check, not just hope.</t>
        </is>
      </c>
      <c r="D16" s="8" t="inlineStr">
        <is>
          <t>Hermes-VPS</t>
        </is>
      </c>
      <c r="E16" s="8" t="inlineStr">
        <is>
          <t>Done</t>
        </is>
      </c>
      <c r="F16" s="8" t="inlineStr">
        <is>
          <t>hermes-memcheck.timer + .service (systemd, every 15min, logs via logger if available memory &lt;500MB). Current baseline 2026-10-06: 257MB free / 1.7GB available of 3.8GB total, 600MB already in swap.</t>
        </is>
      </c>
      <c r="G16" s="8" t="n">
        <v>5</v>
      </c>
      <c r="H16" s="8">
        <f>IF(E16="Done",G16,IF(E16="Partial",G16*0.5,0))</f>
        <v/>
      </c>
      <c r="I16" s="8" t="inlineStr">
        <is>
          <t>Platform/SRE</t>
        </is>
      </c>
      <c r="J16" s="8" t="inlineStr">
        <is>
          <t>Lightweight ceiling check, not full alerting (that's OB-02's job - cross-referenced). Headroom is confirmed genuinely tight, not hypothetical.</t>
        </is>
      </c>
    </row>
    <row r="17">
      <c r="A17" s="8" t="inlineStr">
        <is>
          <t>CR-13</t>
        </is>
      </c>
      <c r="B17" s="8" t="inlineStr">
        <is>
          <t>config.yaml edits via comment-preserving method</t>
        </is>
      </c>
      <c r="C17" s="8" t="inlineStr">
        <is>
          <t>A prior full parse+dump via PyYAML silently stripped all comments; switch to ruamel.yaml or targeted text edits. Found 2026-10-05: dashboard has a form-based Config editor (150+ fields, export/import JSON) -- may sidestep the comment-stripping problem entirely since it's not a full YAML parse+dump. Untested whether it preserves comments on fields it doesn't touch. See D6_Web_Dashboard.</t>
        </is>
      </c>
      <c r="D17" s="8" t="inlineStr">
        <is>
          <t>Hermes-VPS</t>
        </is>
      </c>
      <c r="E17" s="8" t="inlineStr">
        <is>
          <t>Done</t>
        </is>
      </c>
      <c r="F17" s="8" t="inlineStr">
        <is>
          <t>hermes config set/get used exclusively throughout 2026-10-05/06 session (CR-17, SH-04, security.protected_instruction_files toggle) - never a raw PyYAML parse+dump</t>
        </is>
      </c>
      <c r="G17" s="8" t="n">
        <v>3</v>
      </c>
      <c r="H17" s="8">
        <f>IF(E17="Done",G17,IF(E17="Partial",G17*0.5,0))</f>
        <v/>
      </c>
      <c r="I17" s="8" t="inlineStr">
        <is>
          <t>Platform/SRE</t>
        </is>
      </c>
      <c r="J17" s="8" t="inlineStr">
        <is>
          <t>Confirmed in practice: hermes's own config CLI is the safe method, sidesteps the comment-stripping incident entirely since it's not a full-file parse+rewrite.</t>
        </is>
      </c>
    </row>
    <row r="18">
      <c r="A18" s="8" t="inlineStr">
        <is>
          <t>CR-14</t>
        </is>
      </c>
      <c r="B18" s="8" t="inlineStr">
        <is>
          <t>Staged config changes</t>
        </is>
      </c>
      <c r="C18" s="8" t="inlineStr">
        <is>
          <t>A way to validate a config.yaml change before it hits the live gateway (even a dry-run diff), so a bad edit doesn't take down the running agent. Found 2026-10-05: Checkpoints feature auto-snapshots before file writes (shadow git repo) and the Config page has reset-to-defaults/export-JSON -- may partly cover 'validate before it hits the live gateway' without custom tooling. See D6_Web_Dashboard.</t>
        </is>
      </c>
      <c r="D18" s="8" t="inlineStr">
        <is>
          <t>Hermes-VPS</t>
        </is>
      </c>
      <c r="E18" s="8" t="inlineStr">
        <is>
          <t>Done</t>
        </is>
      </c>
      <c r="F18" s="8" t="inlineStr">
        <is>
          <t>hermes checkpoints status confirmed real: shadow git repo auto-snapshots before write_file/patch/terminal calls (/home/hermes/.hermes/checkpoints)</t>
        </is>
      </c>
      <c r="G18" s="8" t="n">
        <v>5</v>
      </c>
      <c r="H18" s="8">
        <f>IF(E18="Done",G18,IF(E18="Partial",G18*0.5,0))</f>
        <v/>
      </c>
      <c r="I18" s="8" t="inlineStr">
        <is>
          <t>Hermes Design Specialist</t>
        </is>
      </c>
      <c r="J18" s="8" t="inlineStr">
        <is>
          <t>Built-in mechanism satisfies this without custom tooling, per the D6_Web_Dashboard lead. hermes checkpoints list/status/prune available for recovery.</t>
        </is>
      </c>
    </row>
    <row r="19">
      <c r="A19" s="8" t="inlineStr">
        <is>
          <t>CR-15</t>
        </is>
      </c>
      <c r="B19" s="8" t="inlineStr">
        <is>
          <t>Sister's Hermes — separate VPS provisioned</t>
        </is>
      </c>
      <c r="C19" s="8" t="inlineStr">
        <is>
          <t>Decided 2026-10-04: full separation, not a restricted-user account on this instance, so memory/context never bleeds between the two. Vultr High Performance AMD, 1 vCPU / 2GB RAM / 50GB NVMe, $12/mo, HermesAgent marketplace image — same pattern as hermes-vps.</t>
        </is>
      </c>
      <c r="D19" s="8" t="inlineStr">
        <is>
          <t>Hermes-VPS</t>
        </is>
      </c>
      <c r="E19" s="8" t="inlineStr">
        <is>
          <t>Not Started</t>
        </is>
      </c>
      <c r="F19" s="8" t="inlineStr">
        <is>
          <t>hermes-sister-separate-agent-2026-10-04</t>
        </is>
      </c>
      <c r="G19" s="8" t="n">
        <v>8</v>
      </c>
      <c r="H19" s="8">
        <f>IF(E19="Done",G19,IF(E19="Partial",G19*0.5,0))</f>
        <v/>
      </c>
      <c r="I19" s="8" t="inlineStr">
        <is>
          <t>Product Owner (Mark)</t>
        </is>
      </c>
      <c r="J19" s="8" t="inlineStr">
        <is>
          <t>DEFERRED 2026-10-06 per explicit user decision: Sister's Hermes is put off until this Hermes instance is complete. Not abandoned, intentionally sequenced after this project's own finish line.</t>
        </is>
      </c>
    </row>
    <row r="20">
      <c r="A20" s="8" t="inlineStr">
        <is>
          <t>CR-16</t>
        </is>
      </c>
      <c r="B20" s="8" t="inlineStr">
        <is>
          <t>Sister's Hermes — local-model access decided</t>
        </is>
      </c>
      <c r="C20" s="8" t="inlineStr">
        <is>
          <t>Open question from the planning conversation: does her instance get access to w_workstation's local model, or stay Codex/cloud-only? One RTX A4000 can't serve two simultaneous agents without one waiting on the other.</t>
        </is>
      </c>
      <c r="D20" s="8" t="inlineStr">
        <is>
          <t>Either / Bridge</t>
        </is>
      </c>
      <c r="E20" s="8" t="inlineStr">
        <is>
          <t>Not Started</t>
        </is>
      </c>
      <c r="F20" s="8" t="inlineStr"/>
      <c r="G20" s="8" t="n">
        <v>3</v>
      </c>
      <c r="H20" s="8">
        <f>IF(E20="Done",G20,IF(E20="Partial",G20*0.5,0))</f>
        <v/>
      </c>
      <c r="I20" s="8" t="inlineStr">
        <is>
          <t>Product Owner (Mark)</t>
        </is>
      </c>
      <c r="J20" s="8" t="inlineStr">
        <is>
          <t>DEFERRED 2026-10-06 per explicit user decision: Sister's Hermes is put off until this Hermes instance is complete. Not abandoned, intentionally sequenced after this project's own finish line.</t>
        </is>
      </c>
    </row>
    <row r="21">
      <c r="A21" s="8" t="inlineStr">
        <is>
          <t>CR-17</t>
        </is>
      </c>
      <c r="B21" s="8" t="inlineStr">
        <is>
          <t>Terminal backend: Docker — locked in</t>
        </is>
      </c>
      <c r="C21" s="8" t="inlineStr">
        <is>
          <t>LOCKED 2026-10-04: terminal.backend=docker, not local. Directly relevant to HN-05/SH-02 (gateway shell exposure) — switching off 'local' sandboxes every command Hermes runs in a container instead of executing directly on the VPS, containing blast radius even before the allowlist fix lands. Docker's already installed on hermes-vps for Dokploy.</t>
        </is>
      </c>
      <c r="D21" s="8" t="inlineStr">
        <is>
          <t>Hermes-VPS</t>
        </is>
      </c>
      <c r="E21" s="8" t="inlineStr">
        <is>
          <t>Done</t>
        </is>
      </c>
      <c r="F21" s="8" t="inlineStr">
        <is>
          <t>config.yaml: terminal.backend=docker, terminal.container_memory=1024 (box is 3.8GiB total); hermes user added to docker group, gateway restarted, 'hermes doctor' confirms Docker (daemon running)</t>
        </is>
      </c>
      <c r="G21" s="8" t="n">
        <v>8</v>
      </c>
      <c r="H21" s="8">
        <f>IF(E21="Done",G21,IF(E21="Partial",G21*0.5,0))</f>
        <v/>
      </c>
      <c r="I21" s="8" t="inlineStr">
        <is>
          <t>Security Reviewer</t>
        </is>
      </c>
      <c r="J21" s="8" t="inlineStr">
        <is>
          <t>APPLIED 2026-10-05: set terminal.backend=docker and terminal.container_memory=1024 (down from the 5120 default that exceeded the box's 4GB RAM). hermes doctor flagged Docker as unreachable after the config change -- root cause was the hermes user not being in the docker group (permission denied on /var/run/docker.sock). Fixed with usermod -aG docker hermes + systemctl restart hermes-gateway to pick up the new group membership. Re-ran hermes doctor: Docker (daemon running) now green.</t>
        </is>
      </c>
    </row>
    <row r="22">
      <c r="A22" s="8" t="inlineStr">
        <is>
          <t>CR-18</t>
        </is>
      </c>
      <c r="B22" s="8" t="inlineStr">
        <is>
          <t>SSH access to hermes-vps catalogued for execution</t>
        </is>
      </c>
      <c r="C22" s="8" t="inlineStr">
        <is>
          <t>DECIDED 2026-10-05: user chose to give Claude Code real SSH access (over the SSH access option) rather than routing execution through the web dashboard's Chat. No SSH credential exists in the vault yet -- hermes-vps was also confirmed absent from the catalog hosts table entirely (CR-09). Needed: host/IP, port, username, key or password.</t>
        </is>
      </c>
      <c r="D22" s="8" t="inlineStr">
        <is>
          <t>Hermes-VPS</t>
        </is>
      </c>
      <c r="E22" s="8" t="inlineStr">
        <is>
          <t>Done</t>
        </is>
      </c>
      <c r="F22" s="8" t="inlineStr">
        <is>
          <t>vault secret hermes-vps-ssh (root@207.148.2.224, same key as default ~/.ssh/id_ed25519)</t>
        </is>
      </c>
      <c r="G22" s="8" t="n">
        <v>5</v>
      </c>
      <c r="H22" s="8">
        <f>IF(E22="Done",G22,IF(E22="Partial",G22*0.5,0))</f>
        <v/>
      </c>
      <c r="I22" s="8" t="inlineStr">
        <is>
          <t>Platform/SRE</t>
        </is>
      </c>
      <c r="J22" s="8" t="inlineStr">
        <is>
          <t>Vaulted 2026-10-05 before any execution work began. SSH tested and used continuously since.</t>
        </is>
      </c>
    </row>
    <row r="23">
      <c r="A23" s="8" t="n"/>
      <c r="B23" s="8" t="n"/>
      <c r="C23" s="8" t="n"/>
      <c r="D23" s="8" t="n"/>
      <c r="E23" s="8" t="n"/>
      <c r="F23" s="8" t="n"/>
      <c r="G23" s="8" t="n"/>
      <c r="H23" s="8">
        <f>IF(E22="Done",G22,IF(E22="Partial",G22*0.5,0))</f>
        <v/>
      </c>
      <c r="I23" s="8" t="n"/>
      <c r="J23" s="8" t="n"/>
    </row>
    <row r="24">
      <c r="A24" s="8" t="n"/>
      <c r="B24" s="8" t="n"/>
      <c r="C24" s="8" t="n"/>
      <c r="D24" s="8" t="n"/>
      <c r="E24" s="8" t="n"/>
      <c r="F24" s="8" t="n"/>
      <c r="G24" s="8" t="n"/>
      <c r="H24" s="8">
        <f>IF(E23="Done",G23,IF(E23="Partial",G23*0.5,0))</f>
        <v/>
      </c>
      <c r="I24" s="8" t="n"/>
      <c r="J24" s="8" t="n"/>
    </row>
    <row r="25">
      <c r="A25" s="8" t="n"/>
      <c r="B25" s="8" t="n"/>
      <c r="C25" s="8" t="n"/>
      <c r="D25" s="8" t="n"/>
      <c r="E25" s="8" t="n"/>
      <c r="F25" s="8" t="n"/>
      <c r="G25" s="8" t="n"/>
      <c r="H25" s="8">
        <f>IF(E24="Done",G24,IF(E24="Partial",G24*0.5,0))</f>
        <v/>
      </c>
      <c r="I25" s="8" t="n"/>
      <c r="J25" s="8" t="n"/>
    </row>
    <row r="26">
      <c r="A26" s="8" t="n"/>
      <c r="B26" s="8" t="n"/>
      <c r="C26" s="8" t="n"/>
      <c r="D26" s="8" t="n"/>
      <c r="E26" s="8" t="n"/>
      <c r="F26" s="8" t="n"/>
      <c r="G26" s="8" t="n"/>
      <c r="H26" s="8">
        <f>IF(E25="Done",G25,IF(E25="Partial",G25*0.5,0))</f>
        <v/>
      </c>
      <c r="I26" s="8" t="n"/>
      <c r="J26" s="8" t="n"/>
    </row>
    <row r="27">
      <c r="A27" s="8" t="n"/>
      <c r="B27" s="8" t="n"/>
      <c r="C27" s="8" t="n"/>
      <c r="D27" s="8" t="n"/>
      <c r="E27" s="8" t="n"/>
      <c r="F27" s="8" t="n"/>
      <c r="G27" s="8" t="n"/>
      <c r="H27" s="8">
        <f>IF(E26="Done",G26,IF(E26="Partial",G26*0.5,0))</f>
        <v/>
      </c>
      <c r="I27" s="8" t="n"/>
      <c r="J27" s="8" t="n"/>
    </row>
    <row r="28">
      <c r="A28" s="8" t="n"/>
      <c r="B28" s="8" t="n"/>
      <c r="C28" s="8" t="n"/>
      <c r="D28" s="8" t="n"/>
      <c r="E28" s="8" t="n"/>
      <c r="F28" s="8" t="n"/>
      <c r="G28" s="8" t="n"/>
      <c r="H28" s="8">
        <f>IF(E27="Done",G27,IF(E27="Partial",G27*0.5,0))</f>
        <v/>
      </c>
      <c r="I28" s="8" t="n"/>
      <c r="J28" s="8" t="n"/>
    </row>
    <row r="29">
      <c r="A29" s="8" t="n"/>
      <c r="B29" s="8" t="n"/>
      <c r="C29" s="8" t="n"/>
      <c r="D29" s="8" t="n"/>
      <c r="E29" s="8" t="n"/>
      <c r="F29" s="8" t="n"/>
      <c r="G29" s="8" t="n"/>
      <c r="H29" s="8">
        <f>IF(E28="Done",G28,IF(E28="Partial",G28*0.5,0))</f>
        <v/>
      </c>
      <c r="I29" s="8" t="n"/>
      <c r="J29" s="8" t="n"/>
    </row>
    <row r="30">
      <c r="A30" s="8" t="n"/>
      <c r="B30" s="8" t="n"/>
      <c r="C30" s="8" t="n"/>
      <c r="D30" s="8" t="n"/>
      <c r="E30" s="8" t="n"/>
      <c r="F30" s="8" t="n"/>
      <c r="G30" s="8" t="n"/>
      <c r="H30" s="8">
        <f>IF(E29="Done",G29,IF(E29="Partial",G29*0.5,0))</f>
        <v/>
      </c>
      <c r="I30" s="8" t="n"/>
      <c r="J30" s="8" t="n"/>
    </row>
    <row r="31">
      <c r="A31" s="8" t="n"/>
      <c r="B31" s="8" t="n"/>
      <c r="C31" s="8" t="n"/>
      <c r="D31" s="8" t="n"/>
      <c r="E31" s="8" t="n"/>
      <c r="F31" s="8" t="n"/>
      <c r="G31" s="8" t="n"/>
      <c r="H31" s="8">
        <f>IF(E30="Done",G30,IF(E30="Partial",G30*0.5,0))</f>
        <v/>
      </c>
      <c r="I31" s="8" t="n"/>
      <c r="J31" s="8" t="n"/>
    </row>
    <row r="32">
      <c r="A32" s="8" t="n"/>
      <c r="B32" s="8" t="n"/>
      <c r="C32" s="8" t="n"/>
      <c r="D32" s="8" t="n"/>
      <c r="E32" s="8" t="n"/>
      <c r="F32" s="8" t="n"/>
      <c r="G32" s="8" t="n"/>
      <c r="H32" s="8">
        <f>IF(E31="Done",G31,IF(E31="Partial",G31*0.5,0))</f>
        <v/>
      </c>
      <c r="I32" s="8" t="n"/>
      <c r="J32" s="8" t="n"/>
    </row>
    <row r="33">
      <c r="A33" s="8" t="n"/>
      <c r="B33" s="8" t="n"/>
      <c r="C33" s="8" t="n"/>
      <c r="D33" s="8" t="n"/>
      <c r="E33" s="8" t="n"/>
      <c r="F33" s="8" t="n"/>
      <c r="G33" s="8" t="n"/>
      <c r="H33" s="8">
        <f>IF(E32="Done",G32,IF(E32="Partial",G32*0.5,0))</f>
        <v/>
      </c>
      <c r="I33" s="8" t="n"/>
      <c r="J33" s="8" t="n"/>
    </row>
    <row r="34">
      <c r="A34" s="8" t="n"/>
      <c r="B34" s="8" t="n"/>
      <c r="C34" s="8" t="n"/>
      <c r="D34" s="8" t="n"/>
      <c r="E34" s="8" t="n"/>
      <c r="F34" s="8" t="n"/>
      <c r="G34" s="8" t="n"/>
      <c r="H34" s="8">
        <f>IF(E33="Done",G33,IF(E33="Partial",G33*0.5,0))</f>
        <v/>
      </c>
      <c r="I34" s="8" t="n"/>
      <c r="J34" s="8" t="n"/>
    </row>
    <row r="35">
      <c r="A35" s="8" t="n"/>
      <c r="B35" s="8" t="n"/>
      <c r="C35" s="8" t="n"/>
      <c r="D35" s="8" t="n"/>
      <c r="E35" s="8" t="n"/>
      <c r="F35" s="8" t="n"/>
      <c r="G35" s="8" t="n"/>
      <c r="H35" s="8">
        <f>IF(E34="Done",G34,IF(E34="Partial",G34*0.5,0))</f>
        <v/>
      </c>
      <c r="I35" s="8" t="n"/>
      <c r="J35" s="8" t="n"/>
    </row>
    <row r="36">
      <c r="A36" s="8" t="n"/>
      <c r="B36" s="8" t="n"/>
      <c r="C36" s="8" t="n"/>
      <c r="D36" s="8" t="n"/>
      <c r="E36" s="8" t="n"/>
      <c r="F36" s="8" t="n"/>
      <c r="G36" s="8" t="n"/>
      <c r="H36" s="8">
        <f>IF(E35="Done",G35,IF(E35="Partial",G35*0.5,0))</f>
        <v/>
      </c>
      <c r="I36" s="8" t="n"/>
      <c r="J36" s="8" t="n"/>
    </row>
    <row r="37">
      <c r="A37" s="8" t="n"/>
      <c r="B37" s="8" t="n"/>
      <c r="C37" s="8" t="n"/>
      <c r="D37" s="8" t="n"/>
      <c r="E37" s="8" t="n"/>
      <c r="F37" s="8" t="n"/>
      <c r="G37" s="8" t="n"/>
      <c r="H37" s="8">
        <f>IF(E36="Done",G36,IF(E36="Partial",G36*0.5,0))</f>
        <v/>
      </c>
      <c r="I37" s="8" t="n"/>
      <c r="J37" s="8" t="n"/>
    </row>
    <row r="38">
      <c r="A38" s="8" t="n"/>
      <c r="B38" s="8" t="n"/>
      <c r="C38" s="8" t="n"/>
      <c r="D38" s="8" t="n"/>
      <c r="E38" s="8" t="n"/>
      <c r="F38" s="8" t="n"/>
      <c r="G38" s="8" t="n"/>
      <c r="H38" s="8">
        <f>IF(E37="Done",G37,IF(E37="Partial",G37*0.5,0))</f>
        <v/>
      </c>
      <c r="I38" s="8" t="n"/>
      <c r="J38" s="8" t="n"/>
    </row>
    <row r="39">
      <c r="A39" s="8" t="n"/>
      <c r="B39" s="8" t="n"/>
      <c r="C39" s="8" t="n"/>
      <c r="D39" s="8" t="n"/>
      <c r="E39" s="8" t="n"/>
      <c r="F39" s="8" t="n"/>
      <c r="G39" s="8" t="n"/>
      <c r="H39" s="8">
        <f>IF(E38="Done",G38,IF(E38="Partial",G38*0.5,0))</f>
        <v/>
      </c>
      <c r="I39" s="8" t="n"/>
      <c r="J39" s="8" t="n"/>
    </row>
    <row r="40">
      <c r="A40" s="8" t="n"/>
      <c r="B40" s="8" t="n"/>
      <c r="C40" s="8" t="n"/>
      <c r="D40" s="8" t="n"/>
      <c r="E40" s="8" t="n"/>
      <c r="F40" s="8" t="n"/>
      <c r="G40" s="8" t="n"/>
      <c r="H40" s="8">
        <f>IF(E39="Done",G39,IF(E39="Partial",G39*0.5,0))</f>
        <v/>
      </c>
      <c r="I40" s="8" t="n"/>
      <c r="J40" s="8" t="n"/>
    </row>
    <row r="41">
      <c r="A41" s="8" t="n"/>
      <c r="B41" s="8" t="n"/>
      <c r="C41" s="8" t="n"/>
      <c r="D41" s="8" t="n"/>
      <c r="E41" s="8" t="n"/>
      <c r="F41" s="8" t="n"/>
      <c r="G41" s="8" t="n"/>
      <c r="H41" s="8">
        <f>IF(E40="Done",G40,IF(E40="Partial",G40*0.5,0))</f>
        <v/>
      </c>
      <c r="I41" s="8" t="n"/>
      <c r="J41" s="8" t="n"/>
    </row>
    <row r="42">
      <c r="A42" s="8" t="n"/>
      <c r="B42" s="8" t="n"/>
      <c r="C42" s="8" t="n"/>
      <c r="D42" s="8" t="n"/>
      <c r="E42" s="8" t="n"/>
      <c r="F42" s="8" t="n"/>
      <c r="G42" s="8" t="n"/>
      <c r="H42" s="8">
        <f>IF(E41="Done",G41,IF(E41="Partial",G41*0.5,0))</f>
        <v/>
      </c>
      <c r="I42" s="8" t="n"/>
      <c r="J42" s="8" t="n"/>
    </row>
    <row r="43">
      <c r="A43" s="8" t="n"/>
      <c r="B43" s="8" t="n"/>
      <c r="C43" s="8" t="n"/>
      <c r="D43" s="8" t="n"/>
      <c r="E43" s="8" t="n"/>
      <c r="F43" s="8" t="n"/>
      <c r="G43" s="8" t="n"/>
      <c r="H43" s="8">
        <f>IF(E42="Done",G42,IF(E42="Partial",G42*0.5,0))</f>
        <v/>
      </c>
      <c r="I43" s="8" t="n"/>
      <c r="J43" s="8" t="n"/>
    </row>
    <row r="44">
      <c r="A44" s="8" t="n"/>
      <c r="B44" s="8" t="n"/>
      <c r="C44" s="8" t="n"/>
      <c r="D44" s="8" t="n"/>
      <c r="E44" s="8" t="n"/>
      <c r="F44" s="8" t="n"/>
      <c r="G44" s="8" t="n"/>
      <c r="H44" s="8">
        <f>IF(E43="Done",G43,IF(E43="Partial",G43*0.5,0))</f>
        <v/>
      </c>
      <c r="I44" s="8" t="n"/>
      <c r="J44" s="8" t="n"/>
    </row>
    <row r="45">
      <c r="A45" s="8" t="n"/>
      <c r="B45" s="8" t="n"/>
      <c r="C45" s="8" t="n"/>
      <c r="D45" s="8" t="n"/>
      <c r="E45" s="8" t="n"/>
      <c r="F45" s="8" t="n"/>
      <c r="G45" s="8" t="n"/>
      <c r="H45" s="8">
        <f>IF(E44="Done",G44,IF(E44="Partial",G44*0.5,0))</f>
        <v/>
      </c>
      <c r="I45" s="8" t="n"/>
      <c r="J45" s="8" t="n"/>
    </row>
    <row r="46">
      <c r="A46" s="8" t="n"/>
      <c r="B46" s="8" t="n"/>
      <c r="C46" s="8" t="n"/>
      <c r="D46" s="8" t="n"/>
      <c r="E46" s="8" t="n"/>
      <c r="F46" s="8" t="n"/>
      <c r="G46" s="8" t="n"/>
      <c r="H46" s="8">
        <f>IF(E45="Done",G45,IF(E45="Partial",G45*0.5,0))</f>
        <v/>
      </c>
      <c r="I46" s="8" t="n"/>
      <c r="J46" s="8" t="n"/>
    </row>
    <row r="47">
      <c r="A47" s="8" t="n"/>
      <c r="B47" s="8" t="n"/>
      <c r="C47" s="8" t="n"/>
      <c r="D47" s="8" t="n"/>
      <c r="E47" s="8" t="n"/>
      <c r="F47" s="8" t="n"/>
      <c r="G47" s="8" t="n"/>
      <c r="H47" s="8">
        <f>IF(E46="Done",G46,IF(E46="Partial",G46*0.5,0))</f>
        <v/>
      </c>
      <c r="I47" s="8" t="n"/>
      <c r="J47" s="8" t="n"/>
    </row>
    <row r="48">
      <c r="A48" s="8" t="n"/>
      <c r="B48" s="8" t="n"/>
      <c r="C48" s="8" t="n"/>
      <c r="D48" s="8" t="n"/>
      <c r="E48" s="8" t="n"/>
      <c r="F48" s="8" t="n"/>
      <c r="G48" s="8" t="n"/>
      <c r="H48" s="8">
        <f>IF(E47="Done",G47,IF(E47="Partial",G47*0.5,0))</f>
        <v/>
      </c>
      <c r="I48" s="8" t="n"/>
      <c r="J48" s="8" t="n"/>
    </row>
    <row r="49">
      <c r="A49" s="8" t="n"/>
      <c r="B49" s="8" t="n"/>
      <c r="C49" s="8" t="n"/>
      <c r="D49" s="8" t="n"/>
      <c r="E49" s="8" t="n"/>
      <c r="F49" s="8" t="n"/>
      <c r="G49" s="8" t="n"/>
      <c r="H49" s="8">
        <f>IF(E48="Done",G48,IF(E48="Partial",G48*0.5,0))</f>
        <v/>
      </c>
      <c r="I49" s="8" t="n"/>
      <c r="J49" s="8" t="n"/>
    </row>
    <row r="50">
      <c r="A50" s="8" t="n"/>
      <c r="B50" s="8" t="n"/>
      <c r="C50" s="8" t="n"/>
      <c r="D50" s="8" t="n"/>
      <c r="E50" s="8" t="n"/>
      <c r="F50" s="8" t="n"/>
      <c r="G50" s="8" t="n"/>
      <c r="H50" s="8">
        <f>IF(E49="Done",G49,IF(E49="Partial",G49*0.5,0))</f>
        <v/>
      </c>
      <c r="I50" s="8" t="n"/>
      <c r="J50" s="8" t="n"/>
    </row>
    <row r="51">
      <c r="A51" s="8" t="n"/>
      <c r="B51" s="8" t="n"/>
      <c r="C51" s="8" t="n"/>
      <c r="D51" s="8" t="n"/>
      <c r="E51" s="8" t="n"/>
      <c r="F51" s="8" t="n"/>
      <c r="G51" s="8" t="n"/>
      <c r="H51" s="8">
        <f>IF(E50="Done",G50,IF(E50="Partial",G50*0.5,0))</f>
        <v/>
      </c>
      <c r="I51" s="8" t="n"/>
      <c r="J51" s="8" t="n"/>
    </row>
    <row r="52">
      <c r="A52" s="8" t="n"/>
      <c r="B52" s="8" t="n"/>
      <c r="C52" s="8" t="n"/>
      <c r="D52" s="8" t="n"/>
      <c r="E52" s="8" t="n"/>
      <c r="F52" s="8" t="n"/>
      <c r="G52" s="8" t="n"/>
      <c r="H52" s="8">
        <f>IF(E51="Done",G51,IF(E51="Partial",G51*0.5,0))</f>
        <v/>
      </c>
      <c r="I52" s="8" t="n"/>
      <c r="J52" s="8" t="n"/>
    </row>
    <row r="53"/>
    <row r="54">
      <c r="B54" s="20" t="inlineStr">
        <is>
          <t>TAB TOTAL (includes blank headroom rows above for future additions)</t>
        </is>
      </c>
      <c r="G54" s="20">
        <f>SUM(G5:G51)</f>
        <v/>
      </c>
      <c r="H54" s="20">
        <f>SUM(H5:H51)</f>
        <v/>
      </c>
      <c r="I54" s="20">
        <f>IFERROR(TEXT(H53/G53,"0%")&amp;" complete","0% complete")</f>
        <v/>
      </c>
    </row>
  </sheetData>
  <mergeCells count="2">
    <mergeCell ref="A1:J1"/>
    <mergeCell ref="A2:J2"/>
  </mergeCells>
  <conditionalFormatting sqref="E5:E51">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0E7C7B"/>
    <outlinePr summaryBelow="1" summaryRight="1"/>
    <pageSetUpPr/>
  </sheetPr>
  <dimension ref="A1:J4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Identity &amp; Memory Continuity</t>
        </is>
      </c>
    </row>
    <row r="2" ht="16" customHeight="1">
      <c r="A2" s="2" t="inlineStr">
        <is>
          <t>The thing that makes 'Hermes away from home' the same Hermes as 'at home.'</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IM-01</t>
        </is>
      </c>
      <c r="B5" s="8" t="inlineStr">
        <is>
          <t>SOUL.md committed to hermes-vps</t>
        </is>
      </c>
      <c r="C5" s="8" t="inlineStr">
        <is>
          <t>CORRECTION 2026-10-04: an earlier pass here wrongly claimed SOUL.md wasn't real — it is, and it's distinct from MEMORY.md (see IM-09). Lives at ~/.hermes/SOUL.md, 2,200-char cap, defines WHO the agent is — persona, tone, values, boundaries, judgment style. First slot in the system prompt. Auto-created with a generic default if missing; the version drafted in conversation was never actually written to the box.</t>
        </is>
      </c>
      <c r="D5" s="8" t="inlineStr">
        <is>
          <t>Hermes-VPS</t>
        </is>
      </c>
      <c r="E5" s="8" t="inlineStr">
        <is>
          <t>Done</t>
        </is>
      </c>
      <c r="F5" s="8" t="inlineStr">
        <is>
          <t>~/.hermes/SOUL.md (1660 bytes), confirmed correct path by hermes doctor: '✓ SOUL.md exists (persona configured)'</t>
        </is>
      </c>
      <c r="G5" s="8" t="n">
        <v>10</v>
      </c>
      <c r="H5" s="8">
        <f>IF(E5="Done",G5,IF(E5="Partial",G5*0.5,0))</f>
        <v/>
      </c>
      <c r="I5" s="8" t="inlineStr">
        <is>
          <t>Hermes Design Specialist</t>
        </is>
      </c>
      <c r="J5" s="8" t="inlineStr">
        <is>
          <t>Path confirmed correct via doctor source (doctor_state.py: soul_path = hermes_home / 'SOUL.md', top-level).</t>
        </is>
      </c>
    </row>
    <row r="6">
      <c r="A6" s="8" t="inlineStr">
        <is>
          <t>IM-02</t>
        </is>
      </c>
      <c r="B6" s="8" t="inlineStr">
        <is>
          <t>USER.md committed to hermes-vps</t>
        </is>
      </c>
      <c r="C6" s="8" t="inlineStr">
        <is>
          <t>User profile/preferences, 1,375-char cap, distinct from both SOUL.md and MEMORY.md. Same status — drafted, never committed.</t>
        </is>
      </c>
      <c r="D6" s="8" t="inlineStr">
        <is>
          <t>Hermes-VPS</t>
        </is>
      </c>
      <c r="E6" s="8" t="inlineStr">
        <is>
          <t>Done</t>
        </is>
      </c>
      <c r="F6" s="8" t="inlineStr">
        <is>
          <t>~/.hermes/memories/USER.md (1036 bytes, general-only now) + separate 'Prograder Price Changes' hermes project (p_9d13c5a9, /home/hermes/prograder-price-changes/NOTES.md) holding the project-specific fact that was previously mixed into USER.md</t>
        </is>
      </c>
      <c r="G6" s="8" t="n">
        <v>10</v>
      </c>
      <c r="H6" s="8">
        <f>IF(E6="Done",G6,IF(E6="Partial",G6*0.5,0))</f>
        <v/>
      </c>
      <c r="I6" s="8" t="inlineStr">
        <is>
          <t>Hermes Design Specialist</t>
        </is>
      </c>
      <c r="J6" s="8" t="inlineStr">
        <is>
          <t>PRINCIPLE established 2026-10-06 per user: general files (SOUL/USER/MEMORY) are about Hermes in general, never project-specific. Found project-specific content (Prograder price-change work preferences) mixed into USER.md - created a proper hermes project for it and moved the fact there, left only general facts in USER.md.</t>
        </is>
      </c>
    </row>
    <row r="7">
      <c r="A7" s="8" t="inlineStr">
        <is>
          <t>IM-03</t>
        </is>
      </c>
      <c r="B7" s="8" t="inlineStr">
        <is>
          <t>Single conversation/session store confirmed</t>
        </is>
      </c>
      <c r="C7" s="8" t="inlineStr">
        <is>
          <t>Unverified whether every interface reads/writes one store or each starts disconnected.</t>
        </is>
      </c>
      <c r="D7" s="8" t="inlineStr">
        <is>
          <t>Hermes-VPS</t>
        </is>
      </c>
      <c r="E7" s="8" t="inlineStr">
        <is>
          <t>Not Started</t>
        </is>
      </c>
      <c r="F7" s="8" t="inlineStr"/>
      <c r="G7" s="8" t="n">
        <v>10</v>
      </c>
      <c r="H7" s="8">
        <f>IF(E7="Done",G7,IF(E7="Partial",G7*0.5,0))</f>
        <v/>
      </c>
      <c r="I7" s="8" t="inlineStr">
        <is>
          <t>Hermes Design Specialist</t>
        </is>
      </c>
      <c r="J7" s="8" t="inlineStr">
        <is>
          <t>Decides whether G6 is even architecturally possible</t>
        </is>
      </c>
    </row>
    <row r="8">
      <c r="A8" s="8" t="inlineStr">
        <is>
          <t>IM-04</t>
        </is>
      </c>
      <c r="B8" s="8" t="inlineStr">
        <is>
          <t>Cross-interface continuity proven</t>
        </is>
      </c>
      <c r="C8" s="8" t="inlineStr">
        <is>
          <t>Web UI, Hermes Desktop, and (eventually) Telegram all resume the same memory, not three separate Hermeses.</t>
        </is>
      </c>
      <c r="D8" s="8" t="inlineStr">
        <is>
          <t>Hermes-VPS</t>
        </is>
      </c>
      <c r="E8" s="8" t="inlineStr">
        <is>
          <t>Not Started</t>
        </is>
      </c>
      <c r="F8" s="8" t="inlineStr"/>
      <c r="G8" s="8" t="n">
        <v>10</v>
      </c>
      <c r="H8" s="8">
        <f>IF(E8="Done",G8,IF(E8="Partial",G8*0.5,0))</f>
        <v/>
      </c>
      <c r="I8" s="8" t="inlineStr">
        <is>
          <t>Hermes Design Specialist</t>
        </is>
      </c>
      <c r="J8" s="8" t="inlineStr">
        <is>
          <t>Found 2026-10-05: practical template ready -- 4 sections (Soul/Voice/Operations/Restrictions), 50-80 lines (~400-800 tokens/turn), official starter pattern available. hermes prompt-size shows actual token cost once written. This was the main blocker on this row -- ready to draft and commit. See D8_Advanced_Reference.</t>
        </is>
      </c>
    </row>
    <row r="9">
      <c r="A9" s="8" t="inlineStr">
        <is>
          <t>IM-05</t>
        </is>
      </c>
      <c r="B9" s="8" t="inlineStr">
        <is>
          <t>Extended memory provider: Hindsight — locked in</t>
        </is>
      </c>
      <c r="C9" s="8" t="inlineStr">
        <is>
          <t>LOCKED 2026-10-04, number CORRECTED 2026-10-05: after comparing all 8 official Hermes memory plugins (Hindsight, ByteRover, Supermemory, Mem0, Honcho, OpenViking, Holographic, RetainDB) plus Mnemosyne, Hindsight had the best independently-reproduced LongMemEval result. The '94.6%' originally cited here was a misread of one sub-metric (single-session-assistant) off the vectorize-io/hindsight-benchmarks leaderboard — Hindsight's actual overall LongMemEval score is 91.4% (Gemini-3 variant) / 89.0% (OSS-120B). Checked against Mastra Observational Memory's 94.87% counter-claim (which would outrank it): Mastra's number is vendor-self-reported on their own site, not independently reproduced, so it doesn't clear the same bar ByteRover's LoCoMo number was already rejected for -- decision stands, only the cited figure was wrong. Its reflect operation also directly matches the actual requirement: broad scope ('anything is fair game,' Hermes = main AI tool going forward) but genuinely curated ('remembering everything means remembering nothing') -- reflect reasons across all stored memories to produce one synthesized answer, not a ranked dump; retain does entity resolution so facts link to canonical people/projects. Local Docker mode, own Postgres, no cloud dependency -- could share a database with the migrated catalog/vault (SV-15).</t>
        </is>
      </c>
      <c r="D9" s="8" t="inlineStr">
        <is>
          <t>Hermes-VPS</t>
        </is>
      </c>
      <c r="E9" s="8" t="inlineStr">
        <is>
          <t>Partial</t>
        </is>
      </c>
      <c r="F9" s="8" t="inlineStr">
        <is>
          <t>hermes-hindsight-benchmark-correction-2026-10-05</t>
        </is>
      </c>
      <c r="G9" s="8" t="n">
        <v>8</v>
      </c>
      <c r="H9" s="8">
        <f>IF(E9="Done",G9,IF(E9="Partial",G9*0.5,0))</f>
        <v/>
      </c>
      <c r="I9" s="8" t="inlineStr">
        <is>
          <t>Hermes Design Specialist</t>
        </is>
      </c>
      <c r="J9" s="8" t="inlineStr">
        <is>
          <t>Decided, not yet deployed. Depends on SV-15 landing first for the shared-database option Found 2026-10-05 (see D4_Crons_System): cron-run sessions pass skip_memory=True -- Hindsight will NOT see or inform cron job output unless that changes. Not a blocker, just dont assume cron jobs get interactive-chat memory context.</t>
        </is>
      </c>
    </row>
    <row r="10">
      <c r="A10" s="8" t="inlineStr">
        <is>
          <t>IM-06</t>
        </is>
      </c>
      <c r="B10" s="8" t="inlineStr">
        <is>
          <t>Hermes runtime-memory backup</t>
        </is>
      </c>
      <c r="C10" s="8" t="inlineStr">
        <is>
          <t>Parallel to export_catalog_memory.py, but for whatever Hermes itself remembers once IM-03 exists.</t>
        </is>
      </c>
      <c r="D10" s="8" t="inlineStr">
        <is>
          <t>Hermes-VPS</t>
        </is>
      </c>
      <c r="E10" s="8" t="inlineStr">
        <is>
          <t>Not Started</t>
        </is>
      </c>
      <c r="F10" s="8" t="inlineStr"/>
      <c r="G10" s="8" t="n">
        <v>5</v>
      </c>
      <c r="H10" s="8">
        <f>IF(E10="Done",G10,IF(E10="Partial",G10*0.5,0))</f>
        <v/>
      </c>
      <c r="I10" s="8" t="inlineStr">
        <is>
          <t>Platform/SRE</t>
        </is>
      </c>
      <c r="J10" s="8" t="inlineStr"/>
    </row>
    <row r="11">
      <c r="A11" s="8" t="inlineStr">
        <is>
          <t>IM-07</t>
        </is>
      </c>
      <c r="B11" s="8" t="inlineStr">
        <is>
          <t>Memory retention/privacy policy</t>
        </is>
      </c>
      <c r="C11" s="8" t="inlineStr">
        <is>
          <t>The built-in system already has a real policy, found 2026-10-04: facts/corrections persisted aggressively, preferences/skills only once they prove themselves, nothing sensitive ever. Capture is agent-judged, not automatic — periodic self-prompts ask 'should I persist this?' (solves humans forgetting to flag what matters). Still undefined: what the SAME policy should be for an extended provider (IM-05) once it exists, which has no built-in character cap forcing curation the way MEMORY.md's 2,200-char limit does.</t>
        </is>
      </c>
      <c r="D11" s="8" t="inlineStr">
        <is>
          <t>N/A (process/doc)</t>
        </is>
      </c>
      <c r="E11" s="8" t="inlineStr">
        <is>
          <t>Partial</t>
        </is>
      </c>
      <c r="F11" s="8" t="inlineStr">
        <is>
          <t>hermes-agent docs: persistent memory</t>
        </is>
      </c>
      <c r="G11" s="8" t="n">
        <v>3</v>
      </c>
      <c r="H11" s="8">
        <f>IF(E11="Done",G11,IF(E11="Partial",G11*0.5,0))</f>
        <v/>
      </c>
      <c r="I11" s="8" t="inlineStr">
        <is>
          <t>Hermes Design Specialist</t>
        </is>
      </c>
      <c r="J11" s="8" t="inlineStr"/>
    </row>
    <row r="12">
      <c r="A12" s="8" t="inlineStr">
        <is>
          <t>IM-08</t>
        </is>
      </c>
      <c r="B12" s="8" t="inlineStr">
        <is>
          <t>Identity consistency test</t>
        </is>
      </c>
      <c r="C12" s="8" t="inlineStr">
        <is>
          <t>Ask 'who are you' from two different interfaces/locations, confirm identical answer, as an actual verification step not an assumption.</t>
        </is>
      </c>
      <c r="D12" s="8" t="inlineStr">
        <is>
          <t>N/A (process/doc)</t>
        </is>
      </c>
      <c r="E12" s="8" t="inlineStr">
        <is>
          <t>Not Started</t>
        </is>
      </c>
      <c r="F12" s="8" t="inlineStr"/>
      <c r="G12" s="8" t="n">
        <v>5</v>
      </c>
      <c r="H12" s="8">
        <f>IF(E12="Done",G12,IF(E12="Partial",G12*0.5,0))</f>
        <v/>
      </c>
      <c r="I12" s="8" t="inlineStr">
        <is>
          <t>Hermes Design Specialist</t>
        </is>
      </c>
      <c r="J12" s="8" t="inlineStr"/>
    </row>
    <row r="13">
      <c r="A13" s="8" t="inlineStr">
        <is>
          <t>IM-09</t>
        </is>
      </c>
      <c r="B13" s="8" t="inlineStr">
        <is>
          <t>MEMORY.md committed to hermes-vps</t>
        </is>
      </c>
      <c r="C13" s="8" t="inlineStr">
        <is>
          <t>Distinct from SOUL.md (IM-01): MEMORY.md holds WHAT the agent has learned — environment facts, conventions, discovered workarounds — not who it is. Same 2,200-char cap; on overflow the agent must consolidate/remove entries before adding more (some nuance gets lost in that process). Human-prunable by hand-editing the file directly; hermes memory compress --older-than 30d also exists for session-level compression.</t>
        </is>
      </c>
      <c r="D13" s="8" t="inlineStr">
        <is>
          <t>Hermes-VPS</t>
        </is>
      </c>
      <c r="E13" s="8" t="inlineStr">
        <is>
          <t>Not Started</t>
        </is>
      </c>
      <c r="F13" s="8" t="inlineStr">
        <is>
          <t>~/.hermes/memories/MEMORY.md does not exist yet - confirmed via hermes doctor: 'MEMORY.md not created yet (will be created when the agent first writes a memory)'</t>
        </is>
      </c>
      <c r="G13" s="8" t="n">
        <v>8</v>
      </c>
      <c r="H13" s="8">
        <f>IF(E13="Done",G13,IF(E13="Partial",G13*0.5,0))</f>
        <v/>
      </c>
      <c r="I13" s="8" t="inlineStr">
        <is>
          <t>Hermes Design Specialist</t>
        </is>
      </c>
      <c r="J13" s="8" t="inlineStr">
        <is>
          <t>CORRECTED 2026-10-06: this is NOT a static file to hand-author - it's populated by the agent itself as it learns facts during real use (same mechanism as memories/USER.md, which already has real entries). My earlier hand-written MEMORY.md went to the wrong path AND the wrong model (static doc vs agent-grown store) - removed. Closes naturally once Hermes is actually used, not by seeding it manually.</t>
        </is>
      </c>
    </row>
    <row r="14">
      <c r="A14" s="8" t="n"/>
      <c r="B14" s="8" t="n"/>
      <c r="C14" s="8" t="n"/>
      <c r="D14" s="8" t="n"/>
      <c r="E14" s="8" t="n"/>
      <c r="F14" s="8" t="n"/>
      <c r="G14" s="8" t="n"/>
      <c r="H14" s="8">
        <f>IF(E14="Done",G14,IF(E14="Partial",G14*0.5,0))</f>
        <v/>
      </c>
      <c r="I14" s="8" t="n"/>
      <c r="J14" s="8" t="n"/>
    </row>
    <row r="15">
      <c r="A15" s="8" t="n"/>
      <c r="B15" s="8" t="n"/>
      <c r="C15" s="8" t="n"/>
      <c r="D15" s="8" t="n"/>
      <c r="E15" s="8" t="n"/>
      <c r="F15" s="8" t="n"/>
      <c r="G15" s="8" t="n"/>
      <c r="H15" s="8">
        <f>IF(E15="Done",G15,IF(E15="Partial",G15*0.5,0))</f>
        <v/>
      </c>
      <c r="I15" s="8" t="n"/>
      <c r="J15" s="8" t="n"/>
    </row>
    <row r="16">
      <c r="A16" s="8" t="n"/>
      <c r="B16" s="8" t="n"/>
      <c r="C16" s="8" t="n"/>
      <c r="D16" s="8" t="n"/>
      <c r="E16" s="8" t="n"/>
      <c r="F16" s="8" t="n"/>
      <c r="G16" s="8" t="n"/>
      <c r="H16" s="8">
        <f>IF(E16="Done",G16,IF(E16="Partial",G16*0.5,0))</f>
        <v/>
      </c>
      <c r="I16" s="8" t="n"/>
      <c r="J16" s="8" t="n"/>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1">
      <c r="A41" s="8" t="n"/>
      <c r="B41" s="8" t="n"/>
      <c r="C41" s="8" t="n"/>
      <c r="D41" s="8" t="n"/>
      <c r="E41" s="8" t="n"/>
      <c r="F41" s="8" t="n"/>
      <c r="G41" s="8" t="n"/>
      <c r="H41" s="8">
        <f>IF(E41="Done",G41,IF(E41="Partial",G41*0.5,0))</f>
        <v/>
      </c>
      <c r="I41" s="8" t="n"/>
      <c r="J41" s="8" t="n"/>
    </row>
    <row r="42">
      <c r="A42" s="8" t="n"/>
      <c r="B42" s="8" t="n"/>
      <c r="C42" s="8" t="n"/>
      <c r="D42" s="8" t="n"/>
      <c r="E42" s="8" t="n"/>
      <c r="F42" s="8" t="n"/>
      <c r="G42" s="8" t="n"/>
      <c r="H42" s="8">
        <f>IF(E42="Done",G42,IF(E42="Partial",G42*0.5,0))</f>
        <v/>
      </c>
      <c r="I42" s="8" t="n"/>
      <c r="J42" s="8" t="n"/>
    </row>
    <row r="43">
      <c r="A43" s="8" t="n"/>
      <c r="B43" s="8" t="n"/>
      <c r="C43" s="8" t="n"/>
      <c r="D43" s="8" t="n"/>
      <c r="E43" s="8" t="n"/>
      <c r="F43" s="8" t="n"/>
      <c r="G43" s="8" t="n"/>
      <c r="H43" s="8">
        <f>IF(E43="Done",G43,IF(E43="Partial",G43*0.5,0))</f>
        <v/>
      </c>
      <c r="I43" s="8" t="n"/>
      <c r="J43" s="8" t="n"/>
    </row>
    <row r="45">
      <c r="B45" s="20" t="inlineStr">
        <is>
          <t>TAB TOTAL (includes blank headroom rows above for future additions)</t>
        </is>
      </c>
      <c r="G45" s="20">
        <f>SUM(G5:G43)</f>
        <v/>
      </c>
      <c r="H45" s="20">
        <f>SUM(H5:H43)</f>
        <v/>
      </c>
      <c r="I45" s="20">
        <f>IFERROR(TEXT(H45/G45,"0%")&amp;" complete","0% complete")</f>
        <v/>
      </c>
    </row>
  </sheetData>
  <mergeCells count="2">
    <mergeCell ref="A1:J1"/>
    <mergeCell ref="A2:J2"/>
  </mergeCells>
  <conditionalFormatting sqref="E5:E43">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0E7C7B"/>
    <outlinePr summaryBelow="1" summaryRight="1"/>
    <pageSetUpPr/>
  </sheetPr>
  <dimension ref="A1:J4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Model, Provider &amp; Resilience</t>
        </is>
      </c>
    </row>
    <row r="2" ht="16" customHeight="1">
      <c r="A2" s="2" t="inlineStr">
        <is>
          <t>Codex must be a COMPLETE Hermes on its own — local inference is an accelerant, never a dependency.</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MR-01</t>
        </is>
      </c>
      <c r="B5" s="8" t="inlineStr">
        <is>
          <t>Codex linked via native link+code flow</t>
        </is>
      </c>
      <c r="C5" s="8" t="inlineStr">
        <is>
          <t>openai-codex / gpt-5.6-sol, via existing ChatGPT Plus — confirmed working for a real coding task.</t>
        </is>
      </c>
      <c r="D5" s="8" t="inlineStr">
        <is>
          <t>Hermes-VPS</t>
        </is>
      </c>
      <c r="E5" s="8" t="inlineStr">
        <is>
          <t>Done</t>
        </is>
      </c>
      <c r="F5" s="8" t="inlineStr">
        <is>
          <t>hermes-vps config.yaml providers</t>
        </is>
      </c>
      <c r="G5" s="8" t="n">
        <v>8</v>
      </c>
      <c r="H5" s="8">
        <f>IF(E5="Done",G5,IF(E5="Partial",G5*0.5,0))</f>
        <v/>
      </c>
      <c r="I5" s="8" t="inlineStr">
        <is>
          <t>Model/Routing Engineer</t>
        </is>
      </c>
      <c r="J5" s="8" t="inlineStr"/>
    </row>
    <row r="6">
      <c r="A6" s="8" t="inlineStr">
        <is>
          <t>MR-02</t>
        </is>
      </c>
      <c r="B6" s="8" t="inlineStr">
        <is>
          <t>Judge-based local-vs-escalate routing live</t>
        </is>
      </c>
      <c r="C6" s="8" t="inlineStr">
        <is>
          <t>complexity_router.py replaced keyword heuristics with an LLM-as-judge call.</t>
        </is>
      </c>
      <c r="D6" s="8" t="inlineStr">
        <is>
          <t>Hermes-VPS</t>
        </is>
      </c>
      <c r="E6" s="8" t="inlineStr">
        <is>
          <t>Done</t>
        </is>
      </c>
      <c r="F6" s="8" t="inlineStr">
        <is>
          <t>complexity-router.service, 127.0.0.1:11500</t>
        </is>
      </c>
      <c r="G6" s="8" t="n">
        <v>10</v>
      </c>
      <c r="H6" s="8">
        <f>IF(E6="Done",G6,IF(E6="Partial",G6*0.5,0))</f>
        <v/>
      </c>
      <c r="I6" s="8" t="inlineStr">
        <is>
          <t>Model/Routing Engineer</t>
        </is>
      </c>
      <c r="J6" s="8" t="inlineStr"/>
    </row>
    <row r="7">
      <c r="A7" s="8" t="inlineStr">
        <is>
          <t>MR-03</t>
        </is>
      </c>
      <c r="B7" s="8" t="inlineStr">
        <is>
          <t>Hard gates: vision + bounded-task bypass</t>
        </is>
      </c>
      <c r="C7" s="8" t="inlineStr">
        <is>
          <t>has_image() forces local (Codex rejects image_url with HTTP 400); max_tokens&lt;=32 bypasses the judge entirely for Smart Approvals.</t>
        </is>
      </c>
      <c r="D7" s="8" t="inlineStr">
        <is>
          <t>Hermes-VPS</t>
        </is>
      </c>
      <c r="E7" s="8" t="inlineStr">
        <is>
          <t>Done</t>
        </is>
      </c>
      <c r="F7" s="8" t="inlineStr">
        <is>
          <t>scripts/complexity_router.py</t>
        </is>
      </c>
      <c r="G7" s="8" t="n">
        <v>8</v>
      </c>
      <c r="H7" s="8">
        <f>IF(E7="Done",G7,IF(E7="Partial",G7*0.5,0))</f>
        <v/>
      </c>
      <c r="I7" s="8" t="inlineStr">
        <is>
          <t>Model/Routing Engineer</t>
        </is>
      </c>
      <c r="J7" s="8" t="inlineStr"/>
    </row>
    <row r="8">
      <c r="A8" s="8" t="inlineStr">
        <is>
          <t>MR-04</t>
        </is>
      </c>
      <c r="B8" s="8" t="inlineStr">
        <is>
          <t>fallback_model escalation verified live</t>
        </is>
      </c>
      <c r="C8" s="8" t="inlineStr">
        <is>
          <t>503 from the router correctly triggers Hermes's native fallback_model retry onto Codex.</t>
        </is>
      </c>
      <c r="D8" s="8" t="inlineStr">
        <is>
          <t>Hermes-VPS</t>
        </is>
      </c>
      <c r="E8" s="8" t="inlineStr">
        <is>
          <t>Done</t>
        </is>
      </c>
      <c r="F8" s="8" t="inlineStr">
        <is>
          <t>hermes-vps logs, 2026-09-27 verification</t>
        </is>
      </c>
      <c r="G8" s="8" t="n">
        <v>8</v>
      </c>
      <c r="H8" s="8">
        <f>IF(E8="Done",G8,IF(E8="Partial",G8*0.5,0))</f>
        <v/>
      </c>
      <c r="I8" s="8" t="inlineStr">
        <is>
          <t>Model/Routing Engineer</t>
        </is>
      </c>
      <c r="J8" s="8" t="inlineStr"/>
    </row>
    <row r="9">
      <c r="A9" s="8" t="inlineStr">
        <is>
          <t>MR-05</t>
        </is>
      </c>
      <c r="B9" s="8" t="inlineStr">
        <is>
          <t>WireGuard-down fire drill (model only)</t>
        </is>
      </c>
      <c r="C9" s="8" t="inlineStr">
        <is>
          <t>Nobody has pulled the tunnel mid-conversation and confirmed Hermes still answers via Codex automatically. 'Fails open to local' on a judge timeout is not proven to hold when the underlying connection itself is down. Scoped to the model/routing path only — see 05_Secrets_Vault SV-14 for the matching gap in catalog/vault reachability.</t>
        </is>
      </c>
      <c r="D9" s="8" t="inlineStr">
        <is>
          <t>Hermes-VPS</t>
        </is>
      </c>
      <c r="E9" s="8" t="inlineStr">
        <is>
          <t>Not Started</t>
        </is>
      </c>
      <c r="F9" s="8" t="inlineStr"/>
      <c r="G9" s="8" t="n">
        <v>15</v>
      </c>
      <c r="H9" s="8">
        <f>IF(E9="Done",G9,IF(E9="Partial",G9*0.5,0))</f>
        <v/>
      </c>
      <c r="I9" s="8" t="inlineStr">
        <is>
          <t>Model/Routing Engineer</t>
        </is>
      </c>
      <c r="J9" s="8" t="inlineStr">
        <is>
          <t>This is the exact guarantee the user is building toward</t>
        </is>
      </c>
    </row>
    <row r="10">
      <c r="A10" s="8" t="inlineStr">
        <is>
          <t>MR-06</t>
        </is>
      </c>
      <c r="B10" s="8" t="inlineStr">
        <is>
          <t>Health check / circuit breaker on local provider</t>
        </is>
      </c>
      <c r="C10" s="8" t="inlineStr">
        <is>
          <t>Proactively mark local down instead of relying on per-request timeout-and-retry.</t>
        </is>
      </c>
      <c r="D10" s="8" t="inlineStr">
        <is>
          <t>Hermes-VPS</t>
        </is>
      </c>
      <c r="E10" s="8" t="inlineStr">
        <is>
          <t>Not Started</t>
        </is>
      </c>
      <c r="F10" s="8" t="inlineStr"/>
      <c r="G10" s="8" t="n">
        <v>10</v>
      </c>
      <c r="H10" s="8">
        <f>IF(E10="Done",G10,IF(E10="Partial",G10*0.5,0))</f>
        <v/>
      </c>
      <c r="I10" s="8" t="inlineStr">
        <is>
          <t>Model/Routing Engineer</t>
        </is>
      </c>
      <c r="J10" s="8" t="inlineStr"/>
    </row>
    <row r="11">
      <c r="A11" s="8" t="inlineStr">
        <is>
          <t>MR-07</t>
        </is>
      </c>
      <c r="B11" s="8" t="inlineStr">
        <is>
          <t>Per-turn backend indicator</t>
        </is>
      </c>
      <c r="C11" s="8" t="inlineStr">
        <is>
          <t>Surface/log which backend (local vs Codex) actually answered each turn.</t>
        </is>
      </c>
      <c r="D11" s="8" t="inlineStr">
        <is>
          <t>Hermes-VPS</t>
        </is>
      </c>
      <c r="E11" s="8" t="inlineStr">
        <is>
          <t>Not Started</t>
        </is>
      </c>
      <c r="F11" s="8" t="inlineStr"/>
      <c r="G11" s="8" t="n">
        <v>5</v>
      </c>
      <c r="H11" s="8">
        <f>IF(E11="Done",G11,IF(E11="Partial",G11*0.5,0))</f>
        <v/>
      </c>
      <c r="I11" s="8" t="inlineStr">
        <is>
          <t>Observability</t>
        </is>
      </c>
      <c r="J11" s="8" t="inlineStr"/>
    </row>
    <row r="12">
      <c r="A12" s="8" t="inlineStr">
        <is>
          <t>MR-08</t>
        </is>
      </c>
      <c r="B12" s="8" t="inlineStr">
        <is>
          <t>Local runtime/model finalized</t>
        </is>
      </c>
      <c r="C12" s="8" t="inlineStr">
        <is>
          <t>See 07_Local_Inference — this row just tracks the routing-layer consequence of that decision.</t>
        </is>
      </c>
      <c r="D12" s="8" t="inlineStr">
        <is>
          <t>Home-Network</t>
        </is>
      </c>
      <c r="E12" s="8" t="inlineStr">
        <is>
          <t>Not Started</t>
        </is>
      </c>
      <c r="F12" s="8" t="inlineStr"/>
      <c r="G12" s="8" t="n">
        <v>5</v>
      </c>
      <c r="H12" s="8">
        <f>IF(E12="Done",G12,IF(E12="Partial",G12*0.5,0))</f>
        <v/>
      </c>
      <c r="I12" s="8" t="inlineStr">
        <is>
          <t>Model/Routing Engineer</t>
        </is>
      </c>
      <c r="J12" s="8" t="inlineStr"/>
    </row>
    <row r="13">
      <c r="A13" s="8" t="inlineStr">
        <is>
          <t>MR-09</t>
        </is>
      </c>
      <c r="B13" s="8" t="inlineStr">
        <is>
          <t>G8 criterion re-verified on new runtime</t>
        </is>
      </c>
      <c r="C13" s="8" t="inlineStr">
        <is>
          <t>Old proof (Ollama) will be stale the moment the runtime changes — must re-run 'one stays local, one escalates, both observed' after cutover.</t>
        </is>
      </c>
      <c r="D13" s="8" t="inlineStr">
        <is>
          <t>Either / Bridge</t>
        </is>
      </c>
      <c r="E13" s="8" t="inlineStr">
        <is>
          <t>Not Started</t>
        </is>
      </c>
      <c r="F13" s="8" t="inlineStr"/>
      <c r="G13" s="8" t="n">
        <v>8</v>
      </c>
      <c r="H13" s="8">
        <f>IF(E13="Done",G13,IF(E13="Partial",G13*0.5,0))</f>
        <v/>
      </c>
      <c r="I13" s="8" t="inlineStr">
        <is>
          <t>Model/Routing Engineer</t>
        </is>
      </c>
      <c r="J13" s="8" t="inlineStr"/>
    </row>
    <row r="14">
      <c r="A14" s="8" t="inlineStr">
        <is>
          <t>MR-10</t>
        </is>
      </c>
      <c r="B14" s="8" t="inlineStr">
        <is>
          <t>Codex spend ceiling / circuit breaker</t>
        </is>
      </c>
      <c r="C14" s="8" t="inlineStr">
        <is>
          <t>No cap or alert exists if Codex usage spikes — relevant once it's the sole fallback.</t>
        </is>
      </c>
      <c r="D14" s="8" t="inlineStr">
        <is>
          <t>Hermes-VPS</t>
        </is>
      </c>
      <c r="E14" s="8" t="inlineStr">
        <is>
          <t>Not Started</t>
        </is>
      </c>
      <c r="F14" s="8" t="inlineStr"/>
      <c r="G14" s="8" t="n">
        <v>5</v>
      </c>
      <c r="H14" s="8">
        <f>IF(E14="Done",G14,IF(E14="Partial",G14*0.5,0))</f>
        <v/>
      </c>
      <c r="I14" s="8" t="inlineStr">
        <is>
          <t>Product Owner (Mark)</t>
        </is>
      </c>
      <c r="J14" s="8" t="inlineStr"/>
    </row>
    <row r="15">
      <c r="A15" s="8" t="inlineStr">
        <is>
          <t>MR-13</t>
        </is>
      </c>
      <c r="B15" s="8" t="inlineStr">
        <is>
          <t>Vultr Serverless Inference fallback model: DeepSeek-V4-Flash — locked in</t>
        </is>
      </c>
      <c r="C15" s="8" t="inlineStr">
        <is>
          <t>LOCKED 2026-10-04: cheapest of the 8 pre-configured models ($0.30/M input, $1.00/M output), fast, general-purpose — right fit for a middle tier meant to be cheap overflow capacity, not a second Codex. Already pre-configured/credentialed on hermes-vps; just needs an explicit fallback_providers entry in config.yaml.</t>
        </is>
      </c>
      <c r="D15" s="8" t="inlineStr">
        <is>
          <t>Hermes-VPS</t>
        </is>
      </c>
      <c r="E15" s="8" t="inlineStr">
        <is>
          <t>Partial</t>
        </is>
      </c>
      <c r="F15" s="8" t="inlineStr">
        <is>
          <t>hermes-five-provider-choices-locked-2026-10-04</t>
        </is>
      </c>
      <c r="G15" s="8" t="n">
        <v>5</v>
      </c>
      <c r="H15" s="8">
        <f>IF(E15="Done",G15,IF(E15="Partial",G15*0.5,0))</f>
        <v/>
      </c>
      <c r="I15" s="8" t="inlineStr">
        <is>
          <t>Model/Routing Engineer</t>
        </is>
      </c>
      <c r="J15" s="8" t="inlineStr">
        <is>
          <t>No three-tier routing logic exists yet (judge only knows local-vs-Codex) — this model is configured but not yet reachable by the router</t>
        </is>
      </c>
    </row>
    <row r="16">
      <c r="A16" s="8" t="inlineStr">
        <is>
          <t>MR-11</t>
        </is>
      </c>
      <c r="B16" s="8" t="inlineStr">
        <is>
          <t>Retry/backoff policy documented</t>
        </is>
      </c>
      <c r="C16" s="8" t="inlineStr">
        <is>
          <t>Transient local error vs. hard failure should not be handled identically.</t>
        </is>
      </c>
      <c r="D16" s="8" t="inlineStr">
        <is>
          <t>Hermes-VPS</t>
        </is>
      </c>
      <c r="E16" s="8" t="inlineStr">
        <is>
          <t>Not Started</t>
        </is>
      </c>
      <c r="F16" s="8" t="inlineStr"/>
      <c r="G16" s="8" t="n">
        <v>3</v>
      </c>
      <c r="H16" s="8">
        <f>IF(E16="Done",G16,IF(E16="Partial",G16*0.5,0))</f>
        <v/>
      </c>
      <c r="I16" s="8" t="inlineStr">
        <is>
          <t>Model/Routing Engineer</t>
        </is>
      </c>
      <c r="J16" s="8" t="inlineStr"/>
    </row>
    <row r="17">
      <c r="A17" s="8" t="inlineStr">
        <is>
          <t>MR-12</t>
        </is>
      </c>
      <c r="B17" s="8" t="inlineStr">
        <is>
          <t>Routing-decision log retention policy</t>
        </is>
      </c>
      <c r="C17" s="8" t="inlineStr">
        <is>
          <t>complexity_router.log exists and records every verdict, but nothing rotates or retains it deliberately.</t>
        </is>
      </c>
      <c r="D17" s="8" t="inlineStr">
        <is>
          <t>Hermes-VPS</t>
        </is>
      </c>
      <c r="E17" s="8" t="inlineStr">
        <is>
          <t>Partial</t>
        </is>
      </c>
      <c r="F17" s="8" t="inlineStr">
        <is>
          <t>/home/hermes/.hermes/logs/complexity_router.log</t>
        </is>
      </c>
      <c r="G17" s="8" t="n">
        <v>3</v>
      </c>
      <c r="H17" s="8">
        <f>IF(E17="Done",G17,IF(E17="Partial",G17*0.5,0))</f>
        <v/>
      </c>
      <c r="I17" s="8" t="inlineStr">
        <is>
          <t>Observability</t>
        </is>
      </c>
      <c r="J17" s="8" t="inlineStr"/>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1">
      <c r="A41" s="8" t="n"/>
      <c r="B41" s="8" t="n"/>
      <c r="C41" s="8" t="n"/>
      <c r="D41" s="8" t="n"/>
      <c r="E41" s="8" t="n"/>
      <c r="F41" s="8" t="n"/>
      <c r="G41" s="8" t="n"/>
      <c r="H41" s="8">
        <f>IF(E41="Done",G41,IF(E41="Partial",G41*0.5,0))</f>
        <v/>
      </c>
      <c r="I41" s="8" t="n"/>
      <c r="J41" s="8" t="n"/>
    </row>
    <row r="42">
      <c r="A42" s="8" t="n"/>
      <c r="B42" s="8" t="n"/>
      <c r="C42" s="8" t="n"/>
      <c r="D42" s="8" t="n"/>
      <c r="E42" s="8" t="n"/>
      <c r="F42" s="8" t="n"/>
      <c r="G42" s="8" t="n"/>
      <c r="H42" s="8">
        <f>IF(E42="Done",G42,IF(E42="Partial",G42*0.5,0))</f>
        <v/>
      </c>
      <c r="I42" s="8" t="n"/>
      <c r="J42" s="8" t="n"/>
    </row>
    <row r="43">
      <c r="A43" s="8" t="n"/>
      <c r="B43" s="8" t="n"/>
      <c r="C43" s="8" t="n"/>
      <c r="D43" s="8" t="n"/>
      <c r="E43" s="8" t="n"/>
      <c r="F43" s="8" t="n"/>
      <c r="G43" s="8" t="n"/>
      <c r="H43" s="8">
        <f>IF(E43="Done",G43,IF(E43="Partial",G43*0.5,0))</f>
        <v/>
      </c>
      <c r="I43" s="8" t="n"/>
      <c r="J43" s="8" t="n"/>
    </row>
    <row r="44">
      <c r="A44" s="8" t="n"/>
      <c r="B44" s="8" t="n"/>
      <c r="C44" s="8" t="n"/>
      <c r="D44" s="8" t="n"/>
      <c r="E44" s="8" t="n"/>
      <c r="F44" s="8" t="n"/>
      <c r="G44" s="8" t="n"/>
      <c r="H44" s="8">
        <f>IF(E44="Done",G44,IF(E44="Partial",G44*0.5,0))</f>
        <v/>
      </c>
      <c r="I44" s="8" t="n"/>
      <c r="J44" s="8" t="n"/>
    </row>
    <row r="45">
      <c r="A45" s="8" t="n"/>
      <c r="B45" s="8" t="n"/>
      <c r="C45" s="8" t="n"/>
      <c r="D45" s="8" t="n"/>
      <c r="E45" s="8" t="n"/>
      <c r="F45" s="8" t="n"/>
      <c r="G45" s="8" t="n"/>
      <c r="H45" s="8">
        <f>IF(E45="Done",G45,IF(E45="Partial",G45*0.5,0))</f>
        <v/>
      </c>
      <c r="I45" s="8" t="n"/>
      <c r="J45" s="8" t="n"/>
    </row>
    <row r="46">
      <c r="A46" s="8" t="n"/>
      <c r="B46" s="8" t="n"/>
      <c r="C46" s="8" t="n"/>
      <c r="D46" s="8" t="n"/>
      <c r="E46" s="8" t="n"/>
      <c r="F46" s="8" t="n"/>
      <c r="G46" s="8" t="n"/>
      <c r="H46" s="8">
        <f>IF(E46="Done",G46,IF(E46="Partial",G46*0.5,0))</f>
        <v/>
      </c>
      <c r="I46" s="8" t="n"/>
      <c r="J46" s="8" t="n"/>
    </row>
    <row r="47">
      <c r="A47" s="8" t="n"/>
      <c r="B47" s="8" t="n"/>
      <c r="C47" s="8" t="n"/>
      <c r="D47" s="8" t="n"/>
      <c r="E47" s="8" t="n"/>
      <c r="F47" s="8" t="n"/>
      <c r="G47" s="8" t="n"/>
      <c r="H47" s="8">
        <f>IF(E47="Done",G47,IF(E47="Partial",G47*0.5,0))</f>
        <v/>
      </c>
      <c r="I47" s="8" t="n"/>
      <c r="J47" s="8" t="n"/>
    </row>
    <row r="49">
      <c r="B49" s="20" t="inlineStr">
        <is>
          <t>TAB TOTAL (includes blank headroom rows above for future additions)</t>
        </is>
      </c>
      <c r="G49" s="20">
        <f>SUM(G5:G47)</f>
        <v/>
      </c>
      <c r="H49" s="20">
        <f>SUM(H5:H47)</f>
        <v/>
      </c>
      <c r="I49" s="20">
        <f>IFERROR(TEXT(H49/G49,"0%")&amp;" complete","0% complete")</f>
        <v/>
      </c>
    </row>
  </sheetData>
  <mergeCells count="2">
    <mergeCell ref="A1:J1"/>
    <mergeCell ref="A2:J2"/>
  </mergeCells>
  <conditionalFormatting sqref="E5:E47">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0E7C7B"/>
    <outlinePr summaryBelow="1" summaryRight="1"/>
    <pageSetUpPr/>
  </sheetPr>
  <dimension ref="A1:J5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Tool / MCP Capability Layer</t>
        </is>
      </c>
    </row>
    <row r="2" ht="16" customHeight="1">
      <c r="A2" s="2" t="inlineStr">
        <is>
          <t>Every network resource as an agent capability — and ONE deployment per capability, not one per environment.</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TM-01</t>
        </is>
      </c>
      <c r="B5" s="8" t="inlineStr">
        <is>
          <t>catalog_mcp.py — VPS-only</t>
        </is>
      </c>
      <c r="C5" s="8" t="inlineStr">
        <is>
          <t>6 tools (get_entities, get_hosts, get_services, add_entity, add_relation, graph_recall), isolated venv, verified live.</t>
        </is>
      </c>
      <c r="D5" s="8" t="inlineStr">
        <is>
          <t>Hermes-VPS</t>
        </is>
      </c>
      <c r="E5" s="8" t="inlineStr">
        <is>
          <t>Done</t>
        </is>
      </c>
      <c r="F5" s="8" t="inlineStr">
        <is>
          <t>/home/hermes/.hermes/mcp_servers/catalog/</t>
        </is>
      </c>
      <c r="G5" s="8" t="n">
        <v>8</v>
      </c>
      <c r="H5" s="8">
        <f>IF(E5="Done",G5,IF(E5="Partial",G5*0.5,0))</f>
        <v/>
      </c>
      <c r="I5" s="8" t="inlineStr">
        <is>
          <t>Platform/SRE</t>
        </is>
      </c>
      <c r="J5" s="8" t="inlineStr"/>
    </row>
    <row r="6">
      <c r="A6" s="8" t="inlineStr">
        <is>
          <t>TM-02</t>
        </is>
      </c>
      <c r="B6" s="8" t="inlineStr">
        <is>
          <t>search_mcp.py — VPS-only, web_search reliable</t>
        </is>
      </c>
      <c r="C6" s="8" t="inlineStr">
        <is>
          <t>Brave API-backed, verified via real hermes -z call.</t>
        </is>
      </c>
      <c r="D6" s="8" t="inlineStr">
        <is>
          <t>Hermes-VPS</t>
        </is>
      </c>
      <c r="E6" s="8" t="inlineStr">
        <is>
          <t>Done</t>
        </is>
      </c>
      <c r="F6" s="8" t="inlineStr">
        <is>
          <t>/home/hermes/.hermes/mcp_servers/search/</t>
        </is>
      </c>
      <c r="G6" s="8" t="n">
        <v>8</v>
      </c>
      <c r="H6" s="8">
        <f>IF(E6="Done",G6,IF(E6="Partial",G6*0.5,0))</f>
        <v/>
      </c>
      <c r="I6" s="8" t="inlineStr">
        <is>
          <t>Platform/SRE</t>
        </is>
      </c>
      <c r="J6" s="8" t="inlineStr"/>
    </row>
    <row r="7">
      <c r="A7" s="8" t="inlineStr">
        <is>
          <t>TM-03</t>
        </is>
      </c>
      <c r="B7" s="8" t="inlineStr">
        <is>
          <t>fetch_page tool-recognition fixed</t>
        </is>
      </c>
      <c r="C7" s="8" t="inlineStr">
        <is>
          <t>Model inconsistently recognizes the tool exists across invocation modes (chat -q vs -z --cli) — root cause not isolated yet.</t>
        </is>
      </c>
      <c r="D7" s="8" t="inlineStr">
        <is>
          <t>Hermes-VPS</t>
        </is>
      </c>
      <c r="E7" s="8" t="inlineStr">
        <is>
          <t>Not Started</t>
        </is>
      </c>
      <c r="F7" s="8" t="inlineStr">
        <is>
          <t>scripts/search_mcp.py — open bug</t>
        </is>
      </c>
      <c r="G7" s="8" t="n">
        <v>5</v>
      </c>
      <c r="H7" s="8">
        <f>IF(E7="Done",G7,IF(E7="Partial",G7*0.5,0))</f>
        <v/>
      </c>
      <c r="I7" s="8" t="inlineStr">
        <is>
          <t>Model/Routing Engineer</t>
        </is>
      </c>
      <c r="J7" s="8" t="inlineStr"/>
    </row>
    <row r="8">
      <c r="A8" s="8" t="inlineStr">
        <is>
          <t>TM-04</t>
        </is>
      </c>
      <c r="B8" s="8" t="inlineStr">
        <is>
          <t>infra_mcp.py — Salt wrapping</t>
        </is>
      </c>
      <c r="C8" s="8" t="inlineStr">
        <is>
          <t>salt_run / salt_minion_status, auto-refreshing auth token, scoped eauth user.</t>
        </is>
      </c>
      <c r="D8" s="8" t="inlineStr">
        <is>
          <t>Hermes-VPS</t>
        </is>
      </c>
      <c r="E8" s="8" t="inlineStr">
        <is>
          <t>Done</t>
        </is>
      </c>
      <c r="F8" s="8" t="inlineStr">
        <is>
          <t>hermes-vps config.yaml mcp_servers.infra</t>
        </is>
      </c>
      <c r="G8" s="8" t="n">
        <v>8</v>
      </c>
      <c r="H8" s="8">
        <f>IF(E8="Done",G8,IF(E8="Partial",G8*0.5,0))</f>
        <v/>
      </c>
      <c r="I8" s="8" t="inlineStr">
        <is>
          <t>Home-Network Liaison</t>
        </is>
      </c>
      <c r="J8" s="8" t="inlineStr"/>
    </row>
    <row r="9">
      <c r="A9" s="8" t="inlineStr">
        <is>
          <t>TM-05</t>
        </is>
      </c>
      <c r="B9" s="8" t="inlineStr">
        <is>
          <t>infra_mcp.py — MeshCentral + Beszel wrapping</t>
        </is>
      </c>
      <c r="C9" s="8" t="inlineStr">
        <is>
          <t>Original goal was a unified Salt+MeshCentral+Beszel surface; only Salt got built.</t>
        </is>
      </c>
      <c r="D9" s="8" t="inlineStr">
        <is>
          <t>Hermes-VPS</t>
        </is>
      </c>
      <c r="E9" s="8" t="inlineStr">
        <is>
          <t>Not Started</t>
        </is>
      </c>
      <c r="F9" s="8" t="inlineStr">
        <is>
          <t>scripts/infra_mcp.py</t>
        </is>
      </c>
      <c r="G9" s="8" t="n">
        <v>8</v>
      </c>
      <c r="H9" s="8">
        <f>IF(E9="Done",G9,IF(E9="Partial",G9*0.5,0))</f>
        <v/>
      </c>
      <c r="I9" s="8" t="inlineStr">
        <is>
          <t>Home-Network Liaison</t>
        </is>
      </c>
      <c r="J9" s="8" t="inlineStr"/>
    </row>
    <row r="10">
      <c r="A10" s="8" t="inlineStr">
        <is>
          <t>TM-06</t>
        </is>
      </c>
      <c r="B10" s="8" t="inlineStr">
        <is>
          <t>vault_mcp.py consolidated to ONE deployment</t>
        </is>
      </c>
      <c r="C10" s="8" t="inlineStr">
        <is>
          <t>Currently 4 independent copies/venvs: hermes-vps, laptop Claude Code .mcp.json, laptop Codex config.toml, and a project-scoped .codex/config.toml. Same tool, four things to keep in sync by hand. Scored under 05_Secrets_Vault SV-12 — this row is the tooling-side cross-reference, not separately weighted.</t>
        </is>
      </c>
      <c r="D10" s="8" t="inlineStr">
        <is>
          <t>Hermes-VPS</t>
        </is>
      </c>
      <c r="E10" s="8" t="inlineStr">
        <is>
          <t>Not Started</t>
        </is>
      </c>
      <c r="F10" s="8" t="inlineStr">
        <is>
          <t>4x — scored at SV-12</t>
        </is>
      </c>
      <c r="G10" s="8" t="n">
        <v>0</v>
      </c>
      <c r="H10" s="8">
        <f>IF(E10="Done",G10,IF(E10="Partial",G10*0.5,0))</f>
        <v/>
      </c>
      <c r="I10" s="8" t="inlineStr">
        <is>
          <t>Hermes Design Specialist</t>
        </is>
      </c>
      <c r="J10" s="8" t="inlineStr">
        <is>
          <t>Decide: single VPS-only server all clients call remotely, or explicitly-temporary local copies with a documented sunset</t>
        </is>
      </c>
    </row>
    <row r="11">
      <c r="A11" s="8" t="inlineStr">
        <is>
          <t>TM-07</t>
        </is>
      </c>
      <c r="B11" s="8" t="inlineStr">
        <is>
          <t>Nous native Tool Gateway configured</t>
        </is>
      </c>
      <c r="C11" s="8" t="inlineStr">
        <is>
          <t>CORRECTED 2026-10-05: this is 4 tools only (web_search/Firecrawl, image_gen/FAL, TTS/OpenAI, browser automation/Browser Use), opt-in per-tool via use_gateway:true, requires a PAID Nous Portal subscription (not available on free tier for these 4). The earlier '5 sandboxed exec backends' description was wrong -- that's actually the terminal tool's 7 backends (local/docker/ssh/singularity/modal/daytona/vercel_sandbox), a separate system already covered by CR-17. See D8_Advanced_Reference.</t>
        </is>
      </c>
      <c r="D11" s="8" t="inlineStr">
        <is>
          <t>Hermes-VPS</t>
        </is>
      </c>
      <c r="E11" s="8" t="inlineStr">
        <is>
          <t>Not Started</t>
        </is>
      </c>
      <c r="F11" s="8" t="inlineStr"/>
      <c r="G11" s="8" t="n">
        <v>8</v>
      </c>
      <c r="H11" s="8">
        <f>IF(E11="Done",G11,IF(E11="Partial",G11*0.5,0))</f>
        <v/>
      </c>
      <c r="I11" s="8" t="inlineStr">
        <is>
          <t>Platform/SRE</t>
        </is>
      </c>
      <c r="J11" s="8" t="inlineStr">
        <is>
          <t>Given Obscura + existing web-search/TTS providers already locked in, likely not worth a paid Portal subscription just for this.</t>
        </is>
      </c>
    </row>
    <row r="12">
      <c r="A12" s="8" t="inlineStr">
        <is>
          <t>TM-08</t>
        </is>
      </c>
      <c r="B12" s="8" t="inlineStr">
        <is>
          <t>Remote-desktop capability fully enrolled</t>
        </is>
      </c>
      <c r="C12" s="8" t="inlineStr">
        <is>
          <t>MeshCentral (had zero devices connected since July) was replaced by Apache Guacamole 2026-10-01 — RDP/SSH native, no agents needed. w_workstation proven end-to-end; other hosts not yet confirmed through it.</t>
        </is>
      </c>
      <c r="D12" s="8" t="inlineStr">
        <is>
          <t>Home-Network</t>
        </is>
      </c>
      <c r="E12" s="8" t="inlineStr">
        <is>
          <t>Partial</t>
        </is>
      </c>
      <c r="F12" s="8" t="inlineStr">
        <is>
          <t>guacamole-deployed-fileserver-2026-10-01</t>
        </is>
      </c>
      <c r="G12" s="8" t="n">
        <v>5</v>
      </c>
      <c r="H12" s="8">
        <f>IF(E12="Done",G12,IF(E12="Partial",G12*0.5,0))</f>
        <v/>
      </c>
      <c r="I12" s="8" t="inlineStr">
        <is>
          <t>Home-Network Liaison</t>
        </is>
      </c>
      <c r="J12" s="8" t="inlineStr"/>
    </row>
    <row r="13">
      <c r="A13" s="8" t="inlineStr">
        <is>
          <t>TM-09</t>
        </is>
      </c>
      <c r="B13" s="8" t="inlineStr">
        <is>
          <t>Unified admin surface for mixed local ecosystem</t>
        </is>
      </c>
      <c r="C13" s="8" t="inlineStr">
        <is>
          <t>Open user ask (2026-09-30): broader than Salt alone, MCP-accessible.</t>
        </is>
      </c>
      <c r="D13" s="8" t="inlineStr">
        <is>
          <t>Home-Network</t>
        </is>
      </c>
      <c r="E13" s="8" t="inlineStr">
        <is>
          <t>Not Started</t>
        </is>
      </c>
      <c r="F13" s="8" t="inlineStr"/>
      <c r="G13" s="8" t="n">
        <v>8</v>
      </c>
      <c r="H13" s="8">
        <f>IF(E13="Done",G13,IF(E13="Partial",G13*0.5,0))</f>
        <v/>
      </c>
      <c r="I13" s="8" t="inlineStr">
        <is>
          <t>Home-Network Liaison</t>
        </is>
      </c>
      <c r="J13" s="8" t="inlineStr"/>
    </row>
    <row r="14">
      <c r="A14" s="8" t="inlineStr">
        <is>
          <t>TM-10</t>
        </is>
      </c>
      <c r="B14" s="8" t="inlineStr">
        <is>
          <t>Playbook: promote a home capability to a Hermes tool</t>
        </is>
      </c>
      <c r="C14" s="8" t="inlineStr">
        <is>
          <t>A repeatable, documented process — not ad hoc each time.</t>
        </is>
      </c>
      <c r="D14" s="8" t="inlineStr">
        <is>
          <t>N/A (process/doc)</t>
        </is>
      </c>
      <c r="E14" s="8" t="inlineStr">
        <is>
          <t>Not Started</t>
        </is>
      </c>
      <c r="F14" s="8" t="inlineStr"/>
      <c r="G14" s="8" t="n">
        <v>5</v>
      </c>
      <c r="H14" s="8">
        <f>IF(E14="Done",G14,IF(E14="Partial",G14*0.5,0))</f>
        <v/>
      </c>
      <c r="I14" s="8" t="inlineStr">
        <is>
          <t>Hermes Design Specialist</t>
        </is>
      </c>
      <c r="J14" s="8" t="inlineStr"/>
    </row>
    <row r="15">
      <c r="A15" s="8" t="inlineStr">
        <is>
          <t>TM-11</t>
        </is>
      </c>
      <c r="B15" s="8" t="inlineStr">
        <is>
          <t>Least-privilege review across all MCP credentials</t>
        </is>
      </c>
      <c r="C15" s="8" t="inlineStr">
        <is>
          <t>salt-hermes-infra is properly scoped (no wheel/runner); others not reviewed the same way.</t>
        </is>
      </c>
      <c r="D15" s="8" t="inlineStr">
        <is>
          <t>Either / Bridge</t>
        </is>
      </c>
      <c r="E15" s="8" t="inlineStr">
        <is>
          <t>Partial</t>
        </is>
      </c>
      <c r="F15" s="8" t="inlineStr"/>
      <c r="G15" s="8" t="n">
        <v>5</v>
      </c>
      <c r="H15" s="8">
        <f>IF(E15="Done",G15,IF(E15="Partial",G15*0.5,0))</f>
        <v/>
      </c>
      <c r="I15" s="8" t="inlineStr">
        <is>
          <t>Security Reviewer</t>
        </is>
      </c>
      <c r="J15" s="8" t="inlineStr"/>
    </row>
    <row r="16">
      <c r="A16" s="8" t="inlineStr">
        <is>
          <t>TM-12</t>
        </is>
      </c>
      <c r="B16" s="8" t="inlineStr">
        <is>
          <t>MCP server dependency/version pinning</t>
        </is>
      </c>
      <c r="C16" s="8" t="inlineStr">
        <is>
          <t>FastMCP version and venv contents should be reproducible, not whatever was latest at deploy time.</t>
        </is>
      </c>
      <c r="D16" s="8" t="inlineStr">
        <is>
          <t>Hermes-VPS</t>
        </is>
      </c>
      <c r="E16" s="8" t="inlineStr">
        <is>
          <t>Not Started</t>
        </is>
      </c>
      <c r="F16" s="8" t="inlineStr"/>
      <c r="G16" s="8" t="n">
        <v>3</v>
      </c>
      <c r="H16" s="8">
        <f>IF(E16="Done",G16,IF(E16="Partial",G16*0.5,0))</f>
        <v/>
      </c>
      <c r="I16" s="8" t="inlineStr">
        <is>
          <t>Platform/SRE</t>
        </is>
      </c>
      <c r="J16" s="8" t="inlineStr"/>
    </row>
    <row r="17">
      <c r="A17" s="8" t="inlineStr">
        <is>
          <t>TM-13</t>
        </is>
      </c>
      <c r="B17" s="8" t="inlineStr">
        <is>
          <t>Tool-call audit trail</t>
        </is>
      </c>
      <c r="C17" s="8" t="inlineStr">
        <is>
          <t>No record of who/what invoked which tool, when — matters once multiple agents (Hermes, Claude Code, Codex) share the same tool surface.</t>
        </is>
      </c>
      <c r="D17" s="8" t="inlineStr">
        <is>
          <t>Hermes-VPS</t>
        </is>
      </c>
      <c r="E17" s="8" t="inlineStr">
        <is>
          <t>Not Started</t>
        </is>
      </c>
      <c r="F17" s="8" t="inlineStr"/>
      <c r="G17" s="8" t="n">
        <v>5</v>
      </c>
      <c r="H17" s="8">
        <f>IF(E17="Done",G17,IF(E17="Partial",G17*0.5,0))</f>
        <v/>
      </c>
      <c r="I17" s="8" t="inlineStr">
        <is>
          <t>Security Reviewer</t>
        </is>
      </c>
      <c r="J17" s="8" t="inlineStr"/>
    </row>
    <row r="18">
      <c r="A18" s="8" t="inlineStr">
        <is>
          <t>TM-14</t>
        </is>
      </c>
      <c r="B18" s="8" t="inlineStr">
        <is>
          <t>Browser automation: Obscura — locked in</t>
        </is>
      </c>
      <c r="C18" s="8" t="inlineStr">
        <is>
          <t>LOCKED 2026-10-04: Obscura (Rust headless browser, ~30MB/instance) over local Chrome/Camofox (200-400MB+/instance — too heavy for a 4GB VPS already running several services) and cloud options (Browserbase/Browser Use, paid). Known risk, stated plainly: NOT officially supported by hermes-agent core — the integration request was closed as not planned. Only available via the community plugin hermes-plugin-obscura.</t>
        </is>
      </c>
      <c r="D18" s="8" t="inlineStr">
        <is>
          <t>Hermes-VPS</t>
        </is>
      </c>
      <c r="E18" s="8" t="inlineStr">
        <is>
          <t>Partial</t>
        </is>
      </c>
      <c r="F18" s="8" t="inlineStr">
        <is>
          <t>hermes-browser-automation-obscura-2026-10-04</t>
        </is>
      </c>
      <c r="G18" s="8" t="n">
        <v>5</v>
      </c>
      <c r="H18" s="8">
        <f>IF(E18="Done",G18,IF(E18="Partial",G18*0.5,0))</f>
        <v/>
      </c>
      <c r="I18" s="8" t="inlineStr">
        <is>
          <t>Hermes Design Specialist</t>
        </is>
      </c>
      <c r="J18" s="8" t="inlineStr">
        <is>
          <t>Install: hermes plugins install SGavrl/hermes-plugin-obscura --enable. Unofficial-plugin risk accepted knowingly, not overlooked</t>
        </is>
      </c>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1">
      <c r="A41" s="8" t="n"/>
      <c r="B41" s="8" t="n"/>
      <c r="C41" s="8" t="n"/>
      <c r="D41" s="8" t="n"/>
      <c r="E41" s="8" t="n"/>
      <c r="F41" s="8" t="n"/>
      <c r="G41" s="8" t="n"/>
      <c r="H41" s="8">
        <f>IF(E41="Done",G41,IF(E41="Partial",G41*0.5,0))</f>
        <v/>
      </c>
      <c r="I41" s="8" t="n"/>
      <c r="J41" s="8" t="n"/>
    </row>
    <row r="42">
      <c r="A42" s="8" t="n"/>
      <c r="B42" s="8" t="n"/>
      <c r="C42" s="8" t="n"/>
      <c r="D42" s="8" t="n"/>
      <c r="E42" s="8" t="n"/>
      <c r="F42" s="8" t="n"/>
      <c r="G42" s="8" t="n"/>
      <c r="H42" s="8">
        <f>IF(E42="Done",G42,IF(E42="Partial",G42*0.5,0))</f>
        <v/>
      </c>
      <c r="I42" s="8" t="n"/>
      <c r="J42" s="8" t="n"/>
    </row>
    <row r="43">
      <c r="A43" s="8" t="n"/>
      <c r="B43" s="8" t="n"/>
      <c r="C43" s="8" t="n"/>
      <c r="D43" s="8" t="n"/>
      <c r="E43" s="8" t="n"/>
      <c r="F43" s="8" t="n"/>
      <c r="G43" s="8" t="n"/>
      <c r="H43" s="8">
        <f>IF(E43="Done",G43,IF(E43="Partial",G43*0.5,0))</f>
        <v/>
      </c>
      <c r="I43" s="8" t="n"/>
      <c r="J43" s="8" t="n"/>
    </row>
    <row r="44">
      <c r="A44" s="8" t="n"/>
      <c r="B44" s="8" t="n"/>
      <c r="C44" s="8" t="n"/>
      <c r="D44" s="8" t="n"/>
      <c r="E44" s="8" t="n"/>
      <c r="F44" s="8" t="n"/>
      <c r="G44" s="8" t="n"/>
      <c r="H44" s="8">
        <f>IF(E44="Done",G44,IF(E44="Partial",G44*0.5,0))</f>
        <v/>
      </c>
      <c r="I44" s="8" t="n"/>
      <c r="J44" s="8" t="n"/>
    </row>
    <row r="45">
      <c r="A45" s="8" t="n"/>
      <c r="B45" s="8" t="n"/>
      <c r="C45" s="8" t="n"/>
      <c r="D45" s="8" t="n"/>
      <c r="E45" s="8" t="n"/>
      <c r="F45" s="8" t="n"/>
      <c r="G45" s="8" t="n"/>
      <c r="H45" s="8">
        <f>IF(E45="Done",G45,IF(E45="Partial",G45*0.5,0))</f>
        <v/>
      </c>
      <c r="I45" s="8" t="n"/>
      <c r="J45" s="8" t="n"/>
    </row>
    <row r="46">
      <c r="A46" s="8" t="n"/>
      <c r="B46" s="8" t="n"/>
      <c r="C46" s="8" t="n"/>
      <c r="D46" s="8" t="n"/>
      <c r="E46" s="8" t="n"/>
      <c r="F46" s="8" t="n"/>
      <c r="G46" s="8" t="n"/>
      <c r="H46" s="8">
        <f>IF(E46="Done",G46,IF(E46="Partial",G46*0.5,0))</f>
        <v/>
      </c>
      <c r="I46" s="8" t="n"/>
      <c r="J46" s="8" t="n"/>
    </row>
    <row r="47">
      <c r="A47" s="8" t="n"/>
      <c r="B47" s="8" t="n"/>
      <c r="C47" s="8" t="n"/>
      <c r="D47" s="8" t="n"/>
      <c r="E47" s="8" t="n"/>
      <c r="F47" s="8" t="n"/>
      <c r="G47" s="8" t="n"/>
      <c r="H47" s="8">
        <f>IF(E47="Done",G47,IF(E47="Partial",G47*0.5,0))</f>
        <v/>
      </c>
      <c r="I47" s="8" t="n"/>
      <c r="J47" s="8" t="n"/>
    </row>
    <row r="48">
      <c r="A48" s="8" t="n"/>
      <c r="B48" s="8" t="n"/>
      <c r="C48" s="8" t="n"/>
      <c r="D48" s="8" t="n"/>
      <c r="E48" s="8" t="n"/>
      <c r="F48" s="8" t="n"/>
      <c r="G48" s="8" t="n"/>
      <c r="H48" s="8">
        <f>IF(E48="Done",G48,IF(E48="Partial",G48*0.5,0))</f>
        <v/>
      </c>
      <c r="I48" s="8" t="n"/>
      <c r="J48" s="8" t="n"/>
    </row>
    <row r="50">
      <c r="B50" s="20" t="inlineStr">
        <is>
          <t>TAB TOTAL (includes blank headroom rows above for future additions)</t>
        </is>
      </c>
      <c r="G50" s="20">
        <f>SUM(G5:G48)</f>
        <v/>
      </c>
      <c r="H50" s="20">
        <f>SUM(H5:H48)</f>
        <v/>
      </c>
      <c r="I50" s="20">
        <f>IFERROR(TEXT(H50/G50,"0%")&amp;" complete","0% complete")</f>
        <v/>
      </c>
    </row>
  </sheetData>
  <mergeCells count="2">
    <mergeCell ref="A1:J1"/>
    <mergeCell ref="A2:J2"/>
  </mergeCells>
  <conditionalFormatting sqref="E5:E48">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0E7C7B"/>
    <outlinePr summaryBelow="1" summaryRight="1"/>
    <pageSetUpPr/>
  </sheetPr>
  <dimension ref="A1:J51"/>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Secrets &amp; Vault</t>
        </is>
      </c>
    </row>
    <row r="2" ht="16" customHeight="1">
      <c r="A2" s="2" t="inlineStr">
        <is>
          <t>If a tool needs a password, it comes from here at call time — never hardcoded, never duplicated at rest.</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SV-01</t>
        </is>
      </c>
      <c r="B5" s="8" t="inlineStr">
        <is>
          <t>Vault backing store live</t>
        </is>
      </c>
      <c r="C5" s="8" t="inlineStr">
        <is>
          <t>Postgres secrets table, pgcrypto-encrypted, secret_get/secret_set RPCs, passcode supplied per-call only. Backing store physically lives on fileserver (Home-Network), reached by hermes-vps over the WireGuard tunnel — see SV-14 for why that matters.</t>
        </is>
      </c>
      <c r="D5" s="8" t="inlineStr">
        <is>
          <t>Home-Network</t>
        </is>
      </c>
      <c r="E5" s="8" t="inlineStr">
        <is>
          <t>Done</t>
        </is>
      </c>
      <c r="F5" s="8" t="inlineStr">
        <is>
          <t>fileserver:3003 catalog-db</t>
        </is>
      </c>
      <c r="G5" s="8" t="n">
        <v>8</v>
      </c>
      <c r="H5" s="8">
        <f>IF(E5="Done",G5,IF(E5="Partial",G5*0.5,0))</f>
        <v/>
      </c>
      <c r="I5" s="8" t="inlineStr">
        <is>
          <t>Secrets Custodian</t>
        </is>
      </c>
      <c r="J5" s="8" t="inlineStr">
        <is>
          <t>CLARIFIED 2026-10-05: this row is about the EXTERNAL catalog Postgres vault (pgp_sym_encrypt). Hermes ALSO has its own separate, local, Fernet-encrypted Credential Vault (~/.hermes/vault/, for browser-fill passwords) plus a distinct Credential Pools feature (multi-key rotation per provider) and an 'API Keys' dashboard page (.env management, not encrypted at rest). Four different 'vault-shaped' things now exist -- don't conflate them. See D6_Web_Dashboard.</t>
        </is>
      </c>
    </row>
    <row r="6">
      <c r="A6" s="8" t="inlineStr">
        <is>
          <t>SV-02</t>
        </is>
      </c>
      <c r="B6" s="8" t="inlineStr">
        <is>
          <t>10 secrets migrated</t>
        </is>
      </c>
      <c r="C6" s="8" t="inlineStr">
        <is>
          <t>w_workstation-llm, w_workstation-mguy, server-mark-sudo, server-portainer-admin, hermes-vps-caddy-basic-auth, hermes-vps-dashboard-basic-auth, hermes-vps-vultr-inference-api-key, hermes-vps-brave-search-api-key, meshcentral-claude-login-token, salt-hermes-infra.</t>
        </is>
      </c>
      <c r="D6" s="8" t="inlineStr">
        <is>
          <t>Either / Bridge</t>
        </is>
      </c>
      <c r="E6" s="8" t="inlineStr">
        <is>
          <t>Done</t>
        </is>
      </c>
      <c r="F6" s="8" t="inlineStr">
        <is>
          <t>vault</t>
        </is>
      </c>
      <c r="G6" s="8" t="n">
        <v>10</v>
      </c>
      <c r="H6" s="8">
        <f>IF(E6="Done",G6,IF(E6="Partial",G6*0.5,0))</f>
        <v/>
      </c>
      <c r="I6" s="8" t="inlineStr">
        <is>
          <t>Secrets Custodian</t>
        </is>
      </c>
      <c r="J6" s="8" t="inlineStr"/>
    </row>
    <row r="7">
      <c r="A7" s="8" t="inlineStr">
        <is>
          <t>SV-03</t>
        </is>
      </c>
      <c r="B7" s="8" t="inlineStr">
        <is>
          <t>DuckDNS token in vault</t>
        </is>
      </c>
      <c r="C7" s="8" t="inlineStr">
        <is>
          <t>Not yet migrated.</t>
        </is>
      </c>
      <c r="D7" s="8" t="inlineStr">
        <is>
          <t>Home-Network</t>
        </is>
      </c>
      <c r="E7" s="8" t="inlineStr">
        <is>
          <t>Not Started</t>
        </is>
      </c>
      <c r="F7" s="8" t="inlineStr"/>
      <c r="G7" s="8" t="n">
        <v>3</v>
      </c>
      <c r="H7" s="8">
        <f>IF(E7="Done",G7,IF(E7="Partial",G7*0.5,0))</f>
        <v/>
      </c>
      <c r="I7" s="8" t="inlineStr">
        <is>
          <t>Secrets Custodian</t>
        </is>
      </c>
      <c r="J7" s="8" t="inlineStr"/>
    </row>
    <row r="8">
      <c r="A8" s="8" t="inlineStr">
        <is>
          <t>SV-04</t>
        </is>
      </c>
      <c r="B8" s="8" t="inlineStr">
        <is>
          <t>NPM admin login in vault</t>
        </is>
      </c>
      <c r="C8" s="8" t="inlineStr">
        <is>
          <t>Not yet migrated.</t>
        </is>
      </c>
      <c r="D8" s="8" t="inlineStr">
        <is>
          <t>Home-Network</t>
        </is>
      </c>
      <c r="E8" s="8" t="inlineStr">
        <is>
          <t>Not Started</t>
        </is>
      </c>
      <c r="F8" s="8" t="inlineStr"/>
      <c r="G8" s="8" t="n">
        <v>3</v>
      </c>
      <c r="H8" s="8">
        <f>IF(E8="Done",G8,IF(E8="Partial",G8*0.5,0))</f>
        <v/>
      </c>
      <c r="I8" s="8" t="inlineStr">
        <is>
          <t>Secrets Custodian</t>
        </is>
      </c>
      <c r="J8" s="8" t="inlineStr"/>
    </row>
    <row r="9">
      <c r="A9" s="8" t="inlineStr">
        <is>
          <t>SV-05</t>
        </is>
      </c>
      <c r="B9" s="8" t="inlineStr">
        <is>
          <t>WordPress / MariaDB creds in vault</t>
        </is>
      </c>
      <c r="C9" s="8" t="inlineStr">
        <is>
          <t>Not yet migrated.</t>
        </is>
      </c>
      <c r="D9" s="8" t="inlineStr">
        <is>
          <t>Home-Network</t>
        </is>
      </c>
      <c r="E9" s="8" t="inlineStr">
        <is>
          <t>Not Started</t>
        </is>
      </c>
      <c r="F9" s="8" t="inlineStr"/>
      <c r="G9" s="8" t="n">
        <v>3</v>
      </c>
      <c r="H9" s="8">
        <f>IF(E9="Done",G9,IF(E9="Partial",G9*0.5,0))</f>
        <v/>
      </c>
      <c r="I9" s="8" t="inlineStr">
        <is>
          <t>Secrets Custodian</t>
        </is>
      </c>
      <c r="J9" s="8" t="inlineStr"/>
    </row>
    <row r="10">
      <c r="A10" s="8" t="inlineStr">
        <is>
          <t>SV-06</t>
        </is>
      </c>
      <c r="B10" s="8" t="inlineStr">
        <is>
          <t>AdGuard admin in vault</t>
        </is>
      </c>
      <c r="C10" s="8" t="inlineStr">
        <is>
          <t>Not yet migrated.</t>
        </is>
      </c>
      <c r="D10" s="8" t="inlineStr">
        <is>
          <t>Home-Network</t>
        </is>
      </c>
      <c r="E10" s="8" t="inlineStr">
        <is>
          <t>Not Started</t>
        </is>
      </c>
      <c r="F10" s="8" t="inlineStr"/>
      <c r="G10" s="8" t="n">
        <v>3</v>
      </c>
      <c r="H10" s="8">
        <f>IF(E10="Done",G10,IF(E10="Partial",G10*0.5,0))</f>
        <v/>
      </c>
      <c r="I10" s="8" t="inlineStr">
        <is>
          <t>Secrets Custodian</t>
        </is>
      </c>
      <c r="J10" s="8" t="inlineStr"/>
    </row>
    <row r="11">
      <c r="A11" s="8" t="inlineStr">
        <is>
          <t>SV-07</t>
        </is>
      </c>
      <c r="B11" s="8" t="inlineStr">
        <is>
          <t>Modal API key located + vaulted</t>
        </is>
      </c>
      <c r="C11" s="8" t="inlineStr">
        <is>
          <t>Location not even fully confirmed yet, separate from being in the vault.</t>
        </is>
      </c>
      <c r="D11" s="8" t="inlineStr">
        <is>
          <t>Hermes-VPS</t>
        </is>
      </c>
      <c r="E11" s="8" t="inlineStr">
        <is>
          <t>Not Started</t>
        </is>
      </c>
      <c r="F11" s="8" t="inlineStr"/>
      <c r="G11" s="8" t="n">
        <v>5</v>
      </c>
      <c r="H11" s="8">
        <f>IF(E11="Done",G11,IF(E11="Partial",G11*0.5,0))</f>
        <v/>
      </c>
      <c r="I11" s="8" t="inlineStr">
        <is>
          <t>Secrets Custodian</t>
        </is>
      </c>
      <c r="J11" s="8" t="inlineStr"/>
    </row>
    <row r="12">
      <c r="A12" s="8" t="inlineStr">
        <is>
          <t>SV-08</t>
        </is>
      </c>
      <c r="B12" s="8" t="inlineStr">
        <is>
          <t>/Dockers share plaintext .env exposure remediated</t>
        </is>
      </c>
      <c r="C12" s="8" t="inlineStr">
        <is>
          <t>Every container's real secrets (DB passwords, Portainer admin) sit on an anonymous guest-accessible SMB share, by deliberate design choice — the single largest exposure on the network and outside the vault effort entirely.</t>
        </is>
      </c>
      <c r="D12" s="8" t="inlineStr">
        <is>
          <t>Home-Network</t>
        </is>
      </c>
      <c r="E12" s="8" t="inlineStr">
        <is>
          <t>Not Started</t>
        </is>
      </c>
      <c r="F12" s="8" t="inlineStr">
        <is>
          <t>server:/Dockers (guest ok=yes)</t>
        </is>
      </c>
      <c r="G12" s="8" t="n">
        <v>15</v>
      </c>
      <c r="H12" s="8">
        <f>IF(E12="Done",G12,IF(E12="Partial",G12*0.5,0))</f>
        <v/>
      </c>
      <c r="I12" s="8" t="inlineStr">
        <is>
          <t>Security Reviewer</t>
        </is>
      </c>
      <c r="J12" s="8" t="inlineStr">
        <is>
          <t>Biggest single item on this whole workbook. Scored here; see 12_Security_Hardening SH-03 cross-reference</t>
        </is>
      </c>
    </row>
    <row r="13">
      <c r="A13" s="8" t="inlineStr">
        <is>
          <t>SV-09</t>
        </is>
      </c>
      <c r="B13" s="8" t="inlineStr">
        <is>
          <t>Vultr inference key removed from config.yaml plaintext</t>
        </is>
      </c>
      <c r="C13" s="8" t="inlineStr">
        <is>
          <t>In the vault now, but never confirmed the plaintext copy in providers.vultr was actually deleted rather than just duplicated.</t>
        </is>
      </c>
      <c r="D13" s="8" t="inlineStr">
        <is>
          <t>Hermes-VPS</t>
        </is>
      </c>
      <c r="E13" s="8" t="inlineStr">
        <is>
          <t>Not Started</t>
        </is>
      </c>
      <c r="F13" s="8" t="inlineStr">
        <is>
          <t>hermes-vps config.yaml</t>
        </is>
      </c>
      <c r="G13" s="8" t="n">
        <v>3</v>
      </c>
      <c r="H13" s="8">
        <f>IF(E13="Done",G13,IF(E13="Partial",G13*0.5,0))</f>
        <v/>
      </c>
      <c r="I13" s="8" t="inlineStr">
        <is>
          <t>Secrets Custodian</t>
        </is>
      </c>
      <c r="J13" s="8" t="inlineStr"/>
    </row>
    <row r="14">
      <c r="A14" s="8" t="inlineStr">
        <is>
          <t>SV-10</t>
        </is>
      </c>
      <c r="B14" s="8" t="inlineStr">
        <is>
          <t>Secret rotation policy</t>
        </is>
      </c>
      <c r="C14" s="8" t="inlineStr">
        <is>
          <t>Nothing defines when/how any of the 10 vaulted secrets get rotated.</t>
        </is>
      </c>
      <c r="D14" s="8" t="inlineStr">
        <is>
          <t>N/A (process/doc)</t>
        </is>
      </c>
      <c r="E14" s="8" t="inlineStr">
        <is>
          <t>Not Started</t>
        </is>
      </c>
      <c r="F14" s="8" t="inlineStr"/>
      <c r="G14" s="8" t="n">
        <v>5</v>
      </c>
      <c r="H14" s="8">
        <f>IF(E14="Done",G14,IF(E14="Partial",G14*0.5,0))</f>
        <v/>
      </c>
      <c r="I14" s="8" t="inlineStr">
        <is>
          <t>Secrets Custodian</t>
        </is>
      </c>
      <c r="J14" s="8" t="inlineStr"/>
    </row>
    <row r="15">
      <c r="A15" s="8" t="inlineStr">
        <is>
          <t>SV-11</t>
        </is>
      </c>
      <c r="B15" s="8" t="inlineStr">
        <is>
          <t>Vault access audit log</t>
        </is>
      </c>
      <c r="C15" s="8" t="inlineStr">
        <is>
          <t>No record of who called get_secret, when, for what.</t>
        </is>
      </c>
      <c r="D15" s="8" t="inlineStr">
        <is>
          <t>Hermes-VPS</t>
        </is>
      </c>
      <c r="E15" s="8" t="inlineStr">
        <is>
          <t>Not Started</t>
        </is>
      </c>
      <c r="F15" s="8" t="inlineStr"/>
      <c r="G15" s="8" t="n">
        <v>5</v>
      </c>
      <c r="H15" s="8">
        <f>IF(E15="Done",G15,IF(E15="Partial",G15*0.5,0))</f>
        <v/>
      </c>
      <c r="I15" s="8" t="inlineStr">
        <is>
          <t>Security Reviewer</t>
        </is>
      </c>
      <c r="J15" s="8" t="inlineStr"/>
    </row>
    <row r="16">
      <c r="A16" s="8" t="inlineStr">
        <is>
          <t>SV-12</t>
        </is>
      </c>
      <c r="B16" s="8" t="inlineStr">
        <is>
          <t>Vault server consolidated to one deployment</t>
        </is>
      </c>
      <c r="C16" s="8" t="inlineStr">
        <is>
          <t>Same underlying item as 04_Tool_MCP_Layer TM-06 — scored here since it's fundamentally a secrets-handling problem, not just a tooling one.</t>
        </is>
      </c>
      <c r="D16" s="8" t="inlineStr">
        <is>
          <t>Hermes-VPS</t>
        </is>
      </c>
      <c r="E16" s="8" t="inlineStr">
        <is>
          <t>Not Started</t>
        </is>
      </c>
      <c r="F16" s="8" t="inlineStr">
        <is>
          <t>4x deployments</t>
        </is>
      </c>
      <c r="G16" s="8" t="n">
        <v>12</v>
      </c>
      <c r="H16" s="8">
        <f>IF(E16="Done",G16,IF(E16="Partial",G16*0.5,0))</f>
        <v/>
      </c>
      <c r="I16" s="8" t="inlineStr">
        <is>
          <t>Hermes Design Specialist</t>
        </is>
      </c>
      <c r="J16" s="8" t="inlineStr"/>
    </row>
    <row r="17">
      <c r="A17" s="8" t="inlineStr">
        <is>
          <t>SV-14</t>
        </is>
      </c>
      <c r="B17" s="8" t="inlineStr">
        <is>
          <t>Catalog/vault reachability defined for tunnel-down</t>
        </is>
      </c>
      <c r="C17" s="8" t="inlineStr">
        <is>
          <t>catalog_mcp.py and vault_mcp.py on hermes-vps both call out to fileserver:3003 over the WireGuard tunnel. 03_Model_Routing_Resilience's MR-05 fire drill only covers the local model falling back to Codex — it does NOT cover what happens to Hermes's memory and secrets access if the same tunnel is down. SUPERSEDED by the 2026-10-04 VPS self-sufficiency rule: the answer isn't 'define acceptable degradation,' it's 'this dependency on the home network isn't allowed to exist' — see SV-15.</t>
        </is>
      </c>
      <c r="D17" s="8" t="inlineStr">
        <is>
          <t>Either / Bridge</t>
        </is>
      </c>
      <c r="E17" s="8" t="inlineStr">
        <is>
          <t>Not Started</t>
        </is>
      </c>
      <c r="F17" s="8" t="inlineStr"/>
      <c r="G17" s="8" t="n">
        <v>12</v>
      </c>
      <c r="H17" s="8">
        <f>IF(E17="Done",G17,IF(E17="Partial",G17*0.5,0))</f>
        <v/>
      </c>
      <c r="I17" s="8" t="inlineStr">
        <is>
          <t>Hermes Design Specialist</t>
        </is>
      </c>
      <c r="J17" s="8" t="inlineStr">
        <is>
          <t>Resolved in principle by SV-15; this row closes once that migration lands</t>
        </is>
      </c>
    </row>
    <row r="18">
      <c r="A18" s="8" t="inlineStr">
        <is>
          <t>SV-15</t>
        </is>
      </c>
      <c r="B18" s="8" t="inlineStr">
        <is>
          <t>Catalog + vault migrated off fileserver</t>
        </is>
      </c>
      <c r="C18" s="8" t="inlineStr">
        <is>
          <t>Required by the 2026-10-04 VPS self-sufficiency rule: hermes-vps must be able to do everything except run the local LLM without depending on the home network. Catalog + vault currently live on fileserver, which violates this. Target: Vultr Managed Database (Postgres, supports pgvector for free) — also solves IM-05's memory-provider storage need in the same move.</t>
        </is>
      </c>
      <c r="D18" s="8" t="inlineStr">
        <is>
          <t>Hermes-VPS</t>
        </is>
      </c>
      <c r="E18" s="8" t="inlineStr">
        <is>
          <t>Not Started</t>
        </is>
      </c>
      <c r="F18" s="8" t="inlineStr">
        <is>
          <t>hermes-catalog-vault-migration-required-2026-10-04</t>
        </is>
      </c>
      <c r="G18" s="8" t="n">
        <v>12</v>
      </c>
      <c r="H18" s="8">
        <f>IF(E18="Done",G18,IF(E18="Partial",G18*0.5,0))</f>
        <v/>
      </c>
      <c r="I18" s="8" t="inlineStr">
        <is>
          <t>Hermes Design Specialist</t>
        </is>
      </c>
      <c r="J18" s="8" t="inlineStr">
        <is>
          <t>Closes SV-14 entirely once done; also unblocks IM-05's Hindsight shared-database option</t>
        </is>
      </c>
    </row>
    <row r="19">
      <c r="A19" s="8" t="inlineStr">
        <is>
          <t>SV-13</t>
        </is>
      </c>
      <c r="B19" s="8" t="inlineStr">
        <is>
          <t>Human-side passcode storage policy</t>
        </is>
      </c>
      <c r="C19" s="8" t="inlineStr">
        <is>
          <t>Define how the vault/Salt passcode is stored and retrieved on the human side (e.g. a password manager entry) so it never needs to be typed into a chat session.</t>
        </is>
      </c>
      <c r="D19" s="8" t="inlineStr">
        <is>
          <t>N/A (process/doc)</t>
        </is>
      </c>
      <c r="E19" s="8" t="inlineStr">
        <is>
          <t>Not Started</t>
        </is>
      </c>
      <c r="F19" s="8" t="inlineStr"/>
      <c r="G19" s="8" t="n">
        <v>5</v>
      </c>
      <c r="H19" s="8">
        <f>IF(E19="Done",G19,IF(E19="Partial",G19*0.5,0))</f>
        <v/>
      </c>
      <c r="I19" s="8" t="inlineStr">
        <is>
          <t>Product Owner (Mark)</t>
        </is>
      </c>
      <c r="J19" s="8" t="inlineStr">
        <is>
          <t>Passcode was typed directly in chat on 2026-10-03; not persisted anywhere by Claude, but this feature would make that unnecessary going forward</t>
        </is>
      </c>
    </row>
    <row r="20">
      <c r="A20" s="8" t="inlineStr">
        <is>
          <t>SV-16</t>
        </is>
      </c>
      <c r="B20" s="8" t="inlineStr">
        <is>
          <t>Hermes native Credential Vault + Credential Pools -- reviewed, not adopted</t>
        </is>
      </c>
      <c r="C20" s="8" t="inlineStr">
        <is>
          <t>Found 2026-10-05: Hermes ships its own local browser-password vault (~/.hermes/vault/, Fernet-encrypted, distinct from the catalog vault above) and a Credential Pools feature (multiple API keys per provider, auto-rotation on rate-limit). Neither currently used. Pools could add resilience to Anthropic/OpenRouter calls cheaply if ever rate-limited; native Vault is the natural home for any login credentials TM-14's Obscura browser automation needs to fill.</t>
        </is>
      </c>
      <c r="D20" s="8" t="inlineStr">
        <is>
          <t>Hermes-VPS</t>
        </is>
      </c>
      <c r="E20" s="8" t="inlineStr">
        <is>
          <t>Not Started</t>
        </is>
      </c>
      <c r="F20" s="8" t="inlineStr">
        <is>
          <t>hermes-web-dashboard-survey-2026-10-05</t>
        </is>
      </c>
      <c r="G20" s="8" t="n">
        <v>3</v>
      </c>
      <c r="H20" s="8">
        <f>IF(E20="Done",G20,IF(E20="Partial",G20*0.5,0))</f>
        <v/>
      </c>
      <c r="I20" s="8" t="inlineStr">
        <is>
          <t>Hermes Design Specialist</t>
        </is>
      </c>
      <c r="J20" s="8" t="inlineStr">
        <is>
          <t>No action needed yet -- noting the capability exists for when Obscura or rate-limiting makes it relevant Found 2026-10-05: hermes egress (iron-proxy) composes with Bitwarden Secrets Manager specifically for sandbox credential protection (opaque proxy tokens, Docker-backend only, matches CR-17). OPEN QUESTION, not resolved: does it require Bitwarden specifically, or can it pull from the existing catalog vault instead? Don't adopt Bitwarden as a new system without checking this first. See D8_Advanced_Reference.</t>
        </is>
      </c>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1">
      <c r="A41" s="8" t="n"/>
      <c r="B41" s="8" t="n"/>
      <c r="C41" s="8" t="n"/>
      <c r="D41" s="8" t="n"/>
      <c r="E41" s="8" t="n"/>
      <c r="F41" s="8" t="n"/>
      <c r="G41" s="8" t="n"/>
      <c r="H41" s="8">
        <f>IF(E41="Done",G41,IF(E41="Partial",G41*0.5,0))</f>
        <v/>
      </c>
      <c r="I41" s="8" t="n"/>
      <c r="J41" s="8" t="n"/>
    </row>
    <row r="42">
      <c r="A42" s="8" t="n"/>
      <c r="B42" s="8" t="n"/>
      <c r="C42" s="8" t="n"/>
      <c r="D42" s="8" t="n"/>
      <c r="E42" s="8" t="n"/>
      <c r="F42" s="8" t="n"/>
      <c r="G42" s="8" t="n"/>
      <c r="H42" s="8">
        <f>IF(E42="Done",G42,IF(E42="Partial",G42*0.5,0))</f>
        <v/>
      </c>
      <c r="I42" s="8" t="n"/>
      <c r="J42" s="8" t="n"/>
    </row>
    <row r="43">
      <c r="A43" s="8" t="n"/>
      <c r="B43" s="8" t="n"/>
      <c r="C43" s="8" t="n"/>
      <c r="D43" s="8" t="n"/>
      <c r="E43" s="8" t="n"/>
      <c r="F43" s="8" t="n"/>
      <c r="G43" s="8" t="n"/>
      <c r="H43" s="8">
        <f>IF(E43="Done",G43,IF(E43="Partial",G43*0.5,0))</f>
        <v/>
      </c>
      <c r="I43" s="8" t="n"/>
      <c r="J43" s="8" t="n"/>
    </row>
    <row r="44">
      <c r="A44" s="8" t="n"/>
      <c r="B44" s="8" t="n"/>
      <c r="C44" s="8" t="n"/>
      <c r="D44" s="8" t="n"/>
      <c r="E44" s="8" t="n"/>
      <c r="F44" s="8" t="n"/>
      <c r="G44" s="8" t="n"/>
      <c r="H44" s="8">
        <f>IF(E44="Done",G44,IF(E44="Partial",G44*0.5,0))</f>
        <v/>
      </c>
      <c r="I44" s="8" t="n"/>
      <c r="J44" s="8" t="n"/>
    </row>
    <row r="45">
      <c r="A45" s="8" t="n"/>
      <c r="B45" s="8" t="n"/>
      <c r="C45" s="8" t="n"/>
      <c r="D45" s="8" t="n"/>
      <c r="E45" s="8" t="n"/>
      <c r="F45" s="8" t="n"/>
      <c r="G45" s="8" t="n"/>
      <c r="H45" s="8">
        <f>IF(E45="Done",G45,IF(E45="Partial",G45*0.5,0))</f>
        <v/>
      </c>
      <c r="I45" s="8" t="n"/>
      <c r="J45" s="8" t="n"/>
    </row>
    <row r="46">
      <c r="A46" s="8" t="n"/>
      <c r="B46" s="8" t="n"/>
      <c r="C46" s="8" t="n"/>
      <c r="D46" s="8" t="n"/>
      <c r="E46" s="8" t="n"/>
      <c r="F46" s="8" t="n"/>
      <c r="G46" s="8" t="n"/>
      <c r="H46" s="8">
        <f>IF(E46="Done",G46,IF(E46="Partial",G46*0.5,0))</f>
        <v/>
      </c>
      <c r="I46" s="8" t="n"/>
      <c r="J46" s="8" t="n"/>
    </row>
    <row r="47">
      <c r="A47" s="8" t="n"/>
      <c r="B47" s="8" t="n"/>
      <c r="C47" s="8" t="n"/>
      <c r="D47" s="8" t="n"/>
      <c r="E47" s="8" t="n"/>
      <c r="F47" s="8" t="n"/>
      <c r="G47" s="8" t="n"/>
      <c r="H47" s="8">
        <f>IF(E47="Done",G47,IF(E47="Partial",G47*0.5,0))</f>
        <v/>
      </c>
      <c r="I47" s="8" t="n"/>
      <c r="J47" s="8" t="n"/>
    </row>
    <row r="48">
      <c r="A48" s="8" t="n"/>
      <c r="B48" s="8" t="n"/>
      <c r="C48" s="8" t="n"/>
      <c r="D48" s="8" t="n"/>
      <c r="E48" s="8" t="n"/>
      <c r="F48" s="8" t="n"/>
      <c r="G48" s="8" t="n"/>
      <c r="H48" s="8">
        <f>IF(E48="Done",G48,IF(E48="Partial",G48*0.5,0))</f>
        <v/>
      </c>
      <c r="I48" s="8" t="n"/>
      <c r="J48" s="8" t="n"/>
    </row>
    <row r="49">
      <c r="A49" s="8" t="n"/>
      <c r="B49" s="8" t="n"/>
      <c r="C49" s="8" t="n"/>
      <c r="D49" s="8" t="n"/>
      <c r="E49" s="8" t="n"/>
      <c r="F49" s="8" t="n"/>
      <c r="G49" s="8" t="n"/>
      <c r="H49" s="8">
        <f>IF(E49="Done",G49,IF(E49="Partial",G49*0.5,0))</f>
        <v/>
      </c>
      <c r="I49" s="8" t="n"/>
      <c r="J49" s="8" t="n"/>
    </row>
    <row r="51">
      <c r="B51" s="20" t="inlineStr">
        <is>
          <t>TAB TOTAL (includes blank headroom rows above for future additions)</t>
        </is>
      </c>
      <c r="G51" s="20">
        <f>SUM(G5:G49)</f>
        <v/>
      </c>
      <c r="H51" s="20">
        <f>SUM(H5:H49)</f>
        <v/>
      </c>
      <c r="I51" s="20">
        <f>IFERROR(TEXT(H51/G51,"0%")&amp;" complete","0% complete")</f>
        <v/>
      </c>
    </row>
  </sheetData>
  <mergeCells count="2">
    <mergeCell ref="A1:J1"/>
    <mergeCell ref="A2:J2"/>
  </mergeCells>
  <conditionalFormatting sqref="E5:E49">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0E7C7B"/>
    <outlinePr summaryBelow="1" summaryRight="1"/>
    <pageSetUpPr/>
  </sheetPr>
  <dimension ref="A1:J4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Home-Network Capability Boundary</t>
        </is>
      </c>
    </row>
    <row r="2" ht="16" customHeight="1">
      <c r="A2" s="2" t="inlineStr">
        <is>
          <t>The home network is a swappable capability PROVIDER, reached over WireGuard. It is never where Hermes lives.</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HN-01</t>
        </is>
      </c>
      <c r="B5" s="8" t="inlineStr">
        <is>
          <t>WireGuard tunnel live, subnet routing confirmed</t>
        </is>
      </c>
      <c r="C5" s="8" t="inlineStr">
        <is>
          <t>10.60.0.0/24, VPS 10.60.0.1 / home 10.60.0.2 on fileserver, verified ping + API reachability end-to-end.</t>
        </is>
      </c>
      <c r="D5" s="8" t="inlineStr">
        <is>
          <t>Home-Network</t>
        </is>
      </c>
      <c r="E5" s="8" t="inlineStr">
        <is>
          <t>Done</t>
        </is>
      </c>
      <c r="F5" s="8" t="inlineStr">
        <is>
          <t>fileserver WireGuard container</t>
        </is>
      </c>
      <c r="G5" s="8" t="n">
        <v>10</v>
      </c>
      <c r="H5" s="8">
        <f>IF(E5="Done",G5,IF(E5="Partial",G5*0.5,0))</f>
        <v/>
      </c>
      <c r="I5" s="8" t="inlineStr">
        <is>
          <t>Home-Network Liaison</t>
        </is>
      </c>
      <c r="J5" s="8" t="inlineStr"/>
    </row>
    <row r="6">
      <c r="A6" s="8" t="inlineStr">
        <is>
          <t>HN-02</t>
        </is>
      </c>
      <c r="B6" s="8" t="inlineStr">
        <is>
          <t>IP forwarding + NAT + FORWARD rules</t>
        </is>
      </c>
      <c r="C6" s="8" t="inlineStr">
        <is>
          <t>net.ipv4.ip_forward=1, explicit ACCEPT persisted in PostUp/PostDown.</t>
        </is>
      </c>
      <c r="D6" s="8" t="inlineStr">
        <is>
          <t>Home-Network</t>
        </is>
      </c>
      <c r="E6" s="8" t="inlineStr">
        <is>
          <t>Done</t>
        </is>
      </c>
      <c r="F6" s="8" t="inlineStr">
        <is>
          <t>fileserver</t>
        </is>
      </c>
      <c r="G6" s="8" t="n">
        <v>5</v>
      </c>
      <c r="H6" s="8">
        <f>IF(E6="Done",G6,IF(E6="Partial",G6*0.5,0))</f>
        <v/>
      </c>
      <c r="I6" s="8" t="inlineStr">
        <is>
          <t>Home-Network Liaison</t>
        </is>
      </c>
      <c r="J6" s="8" t="inlineStr"/>
    </row>
    <row r="7">
      <c r="A7" s="8" t="inlineStr">
        <is>
          <t>HN-03</t>
        </is>
      </c>
      <c r="B7" s="8" t="inlineStr">
        <is>
          <t>Home-network capability scope documented in one place</t>
        </is>
      </c>
      <c r="C7" s="8" t="inlineStr">
        <is>
          <t>Two same-day 2026-09-23 decisions define this: web/Docker presence moved to the VPS specifically to avoid exposing home ports, AND the VPN was explicitly scoped to also carry Salt (not just the local model) — both were deliberate, not sequential scope creep. Worth writing down as one coherent statement instead of two separate catalog entities a reader has to reconcile.</t>
        </is>
      </c>
      <c r="D7" s="8" t="inlineStr">
        <is>
          <t>N/A (process/doc)</t>
        </is>
      </c>
      <c r="E7" s="8" t="inlineStr">
        <is>
          <t>Not Started</t>
        </is>
      </c>
      <c r="F7" s="8" t="inlineStr">
        <is>
          <t>hermes-web-and-docker-presence-shifts-to-vps-2026-09-23, hermes-vpn-scope-includes-salt-2026-09-23</t>
        </is>
      </c>
      <c r="G7" s="8" t="n">
        <v>5</v>
      </c>
      <c r="H7" s="8">
        <f>IF(E7="Done",G7,IF(E7="Partial",G7*0.5,0))</f>
        <v/>
      </c>
      <c r="I7" s="8" t="inlineStr">
        <is>
          <t>Hermes Design Specialist</t>
        </is>
      </c>
      <c r="J7" s="8" t="inlineStr"/>
    </row>
    <row r="8">
      <c r="A8" s="8" t="inlineStr">
        <is>
          <t>HN-04</t>
        </is>
      </c>
      <c r="B8" s="8" t="inlineStr">
        <is>
          <t>Device-management capability, current state documented</t>
        </is>
      </c>
      <c r="C8" s="8" t="inlineStr">
        <is>
          <t>MeshCentral (the original device-mgmt pick) was fully replaced by Apache Guacamole 2026-10-01 — RDP/SSH native, no agent install needed, proven end-to-end for w_workstation. This row now just needs the remaining hosts (w_desktop, fileserver, server) confirmed through Guacamole too.</t>
        </is>
      </c>
      <c r="D8" s="8" t="inlineStr">
        <is>
          <t>Home-Network</t>
        </is>
      </c>
      <c r="E8" s="8" t="inlineStr">
        <is>
          <t>Partial</t>
        </is>
      </c>
      <c r="F8" s="8" t="inlineStr">
        <is>
          <t>guacamole-deployed-fileserver-2026-10-01</t>
        </is>
      </c>
      <c r="G8" s="8" t="n">
        <v>5</v>
      </c>
      <c r="H8" s="8">
        <f>IF(E8="Done",G8,IF(E8="Partial",G8*0.5,0))</f>
        <v/>
      </c>
      <c r="I8" s="8" t="inlineStr">
        <is>
          <t>Home-Network Liaison</t>
        </is>
      </c>
      <c r="J8" s="8" t="inlineStr"/>
    </row>
    <row r="9">
      <c r="A9" s="8" t="inlineStr">
        <is>
          <t>HN-05</t>
        </is>
      </c>
      <c r="B9" s="8" t="inlineStr">
        <is>
          <t>Gateway arbitrary-shell exposure closed</t>
        </is>
      </c>
      <c r="C9" s="8" t="inlineStr">
        <is>
          <t>GATEWAY_ALLOW_ALL_USERS=true + 0.0.0.0 + local terminal backend = unauthenticated shell access over the tunnel/LAN. Hermes's own docs warn against this combination.</t>
        </is>
      </c>
      <c r="D9" s="8" t="inlineStr">
        <is>
          <t>Hermes-VPS</t>
        </is>
      </c>
      <c r="E9" s="8" t="inlineStr">
        <is>
          <t>Not Started</t>
        </is>
      </c>
      <c r="F9" s="8" t="inlineStr">
        <is>
          <t>hermes-vps config.yaml</t>
        </is>
      </c>
      <c r="G9" s="8" t="n">
        <v>15</v>
      </c>
      <c r="H9" s="8">
        <f>IF(E9="Done",G9,IF(E9="Partial",G9*0.5,0))</f>
        <v/>
      </c>
      <c r="I9" s="8" t="inlineStr">
        <is>
          <t>Security Reviewer</t>
        </is>
      </c>
      <c r="J9" s="8" t="inlineStr">
        <is>
          <t>High priority — add an allowlist or disable ALLOW_ALL_USERS. Scored here; see 12_Security_Hardening SH-02 cross-reference</t>
        </is>
      </c>
    </row>
    <row r="10">
      <c r="A10" s="8" t="inlineStr">
        <is>
          <t>HN-06</t>
        </is>
      </c>
      <c r="B10" s="8" t="inlineStr">
        <is>
          <t>Tunnel-down alerting</t>
        </is>
      </c>
      <c r="C10" s="8" t="inlineStr">
        <is>
          <t>No notification today if the WireGuard link drops — ties to MR-05's fire drill.</t>
        </is>
      </c>
      <c r="D10" s="8" t="inlineStr">
        <is>
          <t>Either / Bridge</t>
        </is>
      </c>
      <c r="E10" s="8" t="inlineStr">
        <is>
          <t>Not Started</t>
        </is>
      </c>
      <c r="F10" s="8" t="inlineStr"/>
      <c r="G10" s="8" t="n">
        <v>5</v>
      </c>
      <c r="H10" s="8">
        <f>IF(E10="Done",G10,IF(E10="Partial",G10*0.5,0))</f>
        <v/>
      </c>
      <c r="I10" s="8" t="inlineStr">
        <is>
          <t>Observability</t>
        </is>
      </c>
      <c r="J10" s="8" t="inlineStr"/>
    </row>
    <row r="11">
      <c r="A11" s="8" t="inlineStr">
        <is>
          <t>HN-07</t>
        </is>
      </c>
      <c r="B11" s="8" t="inlineStr">
        <is>
          <t>Minimum-exposure audit of tunnel ACL</t>
        </is>
      </c>
      <c r="C11" s="8" t="inlineStr">
        <is>
          <t>Confirm only catalog/Salt/LLM ports are actually reachable over the tunnel, nothing incidental.</t>
        </is>
      </c>
      <c r="D11" s="8" t="inlineStr">
        <is>
          <t>Home-Network</t>
        </is>
      </c>
      <c r="E11" s="8" t="inlineStr">
        <is>
          <t>Not Started</t>
        </is>
      </c>
      <c r="F11" s="8" t="inlineStr"/>
      <c r="G11" s="8" t="n">
        <v>5</v>
      </c>
      <c r="H11" s="8">
        <f>IF(E11="Done",G11,IF(E11="Partial",G11*0.5,0))</f>
        <v/>
      </c>
      <c r="I11" s="8" t="inlineStr">
        <is>
          <t>Security Reviewer</t>
        </is>
      </c>
      <c r="J11" s="8" t="inlineStr"/>
    </row>
    <row r="12">
      <c r="A12" s="8" t="inlineStr">
        <is>
          <t>HN-08</t>
        </is>
      </c>
      <c r="B12" s="8" t="inlineStr">
        <is>
          <t>WireGuard key rotation policy</t>
        </is>
      </c>
      <c r="C12" s="8" t="inlineStr">
        <is>
          <t>No defined cadence or trigger for rotating the tunnel keypair.</t>
        </is>
      </c>
      <c r="D12" s="8" t="inlineStr">
        <is>
          <t>Home-Network</t>
        </is>
      </c>
      <c r="E12" s="8" t="inlineStr">
        <is>
          <t>Not Started</t>
        </is>
      </c>
      <c r="F12" s="8" t="inlineStr"/>
      <c r="G12" s="8" t="n">
        <v>3</v>
      </c>
      <c r="H12" s="8">
        <f>IF(E12="Done",G12,IF(E12="Partial",G12*0.5,0))</f>
        <v/>
      </c>
      <c r="I12" s="8" t="inlineStr">
        <is>
          <t>Security Reviewer</t>
        </is>
      </c>
      <c r="J12" s="8" t="inlineStr"/>
    </row>
    <row r="13">
      <c r="A13" s="8" t="inlineStr">
        <is>
          <t>HN-09</t>
        </is>
      </c>
      <c r="B13" s="8" t="inlineStr">
        <is>
          <t>Home Assistant existence on home network -- unconfirmed</t>
        </is>
      </c>
      <c r="C13" s="8" t="inlineStr">
        <is>
          <t>Open question raised 2026-10-05 (D6/D8): a real Hermes plugin exists for Home Assistant (bigger than the Hue-only skill already found) -- but whether HA actually runs on the home network is unconfirmed. User said 'not sure' when asked directly.</t>
        </is>
      </c>
      <c r="D13" s="8" t="inlineStr">
        <is>
          <t>N/A (process/doc)</t>
        </is>
      </c>
      <c r="E13" s="8" t="inlineStr">
        <is>
          <t>Not Started</t>
        </is>
      </c>
      <c r="F13" s="8" t="n"/>
      <c r="G13" s="8" t="n">
        <v>2</v>
      </c>
      <c r="H13" s="8">
        <f>IF(E13="Done",G13,IF(E13="Partial",G13*0.5,0))</f>
        <v/>
      </c>
      <c r="I13" s="8" t="inlineStr">
        <is>
          <t>Home-Network Liaison</t>
        </is>
      </c>
      <c r="J13" s="8" t="inlineStr">
        <is>
          <t>Not blocking execution -- check later, only relevant if HA turns out to exist.</t>
        </is>
      </c>
    </row>
    <row r="14">
      <c r="A14" s="8" t="n"/>
      <c r="B14" s="8" t="n"/>
      <c r="C14" s="8" t="n"/>
      <c r="D14" s="8" t="n"/>
      <c r="E14" s="8" t="n"/>
      <c r="F14" s="8" t="n"/>
      <c r="G14" s="8" t="n"/>
      <c r="H14" s="8">
        <f>IF(E13="Done",G13,IF(E13="Partial",G13*0.5,0))</f>
        <v/>
      </c>
      <c r="I14" s="8" t="n"/>
      <c r="J14" s="8" t="n"/>
    </row>
    <row r="15">
      <c r="A15" s="8" t="n"/>
      <c r="B15" s="8" t="n"/>
      <c r="C15" s="8" t="n"/>
      <c r="D15" s="8" t="n"/>
      <c r="E15" s="8" t="n"/>
      <c r="F15" s="8" t="n"/>
      <c r="G15" s="8" t="n"/>
      <c r="H15" s="8">
        <f>IF(E14="Done",G14,IF(E14="Partial",G14*0.5,0))</f>
        <v/>
      </c>
      <c r="I15" s="8" t="n"/>
      <c r="J15" s="8" t="n"/>
    </row>
    <row r="16">
      <c r="A16" s="8" t="n"/>
      <c r="B16" s="8" t="n"/>
      <c r="C16" s="8" t="n"/>
      <c r="D16" s="8" t="n"/>
      <c r="E16" s="8" t="n"/>
      <c r="F16" s="8" t="n"/>
      <c r="G16" s="8" t="n"/>
      <c r="H16" s="8">
        <f>IF(E15="Done",G15,IF(E15="Partial",G15*0.5,0))</f>
        <v/>
      </c>
      <c r="I16" s="8" t="n"/>
      <c r="J16" s="8" t="n"/>
    </row>
    <row r="17">
      <c r="A17" s="8" t="n"/>
      <c r="B17" s="8" t="n"/>
      <c r="C17" s="8" t="n"/>
      <c r="D17" s="8" t="n"/>
      <c r="E17" s="8" t="n"/>
      <c r="F17" s="8" t="n"/>
      <c r="G17" s="8" t="n"/>
      <c r="H17" s="8">
        <f>IF(E16="Done",G16,IF(E16="Partial",G16*0.5,0))</f>
        <v/>
      </c>
      <c r="I17" s="8" t="n"/>
      <c r="J17" s="8" t="n"/>
    </row>
    <row r="18">
      <c r="A18" s="8" t="n"/>
      <c r="B18" s="8" t="n"/>
      <c r="C18" s="8" t="n"/>
      <c r="D18" s="8" t="n"/>
      <c r="E18" s="8" t="n"/>
      <c r="F18" s="8" t="n"/>
      <c r="G18" s="8" t="n"/>
      <c r="H18" s="8">
        <f>IF(E17="Done",G17,IF(E17="Partial",G17*0.5,0))</f>
        <v/>
      </c>
      <c r="I18" s="8" t="n"/>
      <c r="J18" s="8" t="n"/>
    </row>
    <row r="19">
      <c r="A19" s="8" t="n"/>
      <c r="B19" s="8" t="n"/>
      <c r="C19" s="8" t="n"/>
      <c r="D19" s="8" t="n"/>
      <c r="E19" s="8" t="n"/>
      <c r="F19" s="8" t="n"/>
      <c r="G19" s="8" t="n"/>
      <c r="H19" s="8">
        <f>IF(E18="Done",G18,IF(E18="Partial",G18*0.5,0))</f>
        <v/>
      </c>
      <c r="I19" s="8" t="n"/>
      <c r="J19" s="8" t="n"/>
    </row>
    <row r="20">
      <c r="A20" s="8" t="n"/>
      <c r="B20" s="8" t="n"/>
      <c r="C20" s="8" t="n"/>
      <c r="D20" s="8" t="n"/>
      <c r="E20" s="8" t="n"/>
      <c r="F20" s="8" t="n"/>
      <c r="G20" s="8" t="n"/>
      <c r="H20" s="8">
        <f>IF(E19="Done",G19,IF(E19="Partial",G19*0.5,0))</f>
        <v/>
      </c>
      <c r="I20" s="8" t="n"/>
      <c r="J20" s="8" t="n"/>
    </row>
    <row r="21">
      <c r="A21" s="8" t="n"/>
      <c r="B21" s="8" t="n"/>
      <c r="C21" s="8" t="n"/>
      <c r="D21" s="8" t="n"/>
      <c r="E21" s="8" t="n"/>
      <c r="F21" s="8" t="n"/>
      <c r="G21" s="8" t="n"/>
      <c r="H21" s="8">
        <f>IF(E20="Done",G20,IF(E20="Partial",G20*0.5,0))</f>
        <v/>
      </c>
      <c r="I21" s="8" t="n"/>
      <c r="J21" s="8" t="n"/>
    </row>
    <row r="22">
      <c r="A22" s="8" t="n"/>
      <c r="B22" s="8" t="n"/>
      <c r="C22" s="8" t="n"/>
      <c r="D22" s="8" t="n"/>
      <c r="E22" s="8" t="n"/>
      <c r="F22" s="8" t="n"/>
      <c r="G22" s="8" t="n"/>
      <c r="H22" s="8">
        <f>IF(E21="Done",G21,IF(E21="Partial",G21*0.5,0))</f>
        <v/>
      </c>
      <c r="I22" s="8" t="n"/>
      <c r="J22" s="8" t="n"/>
    </row>
    <row r="23">
      <c r="A23" s="8" t="n"/>
      <c r="B23" s="8" t="n"/>
      <c r="C23" s="8" t="n"/>
      <c r="D23" s="8" t="n"/>
      <c r="E23" s="8" t="n"/>
      <c r="F23" s="8" t="n"/>
      <c r="G23" s="8" t="n"/>
      <c r="H23" s="8">
        <f>IF(E22="Done",G22,IF(E22="Partial",G22*0.5,0))</f>
        <v/>
      </c>
      <c r="I23" s="8" t="n"/>
      <c r="J23" s="8" t="n"/>
    </row>
    <row r="24">
      <c r="A24" s="8" t="n"/>
      <c r="B24" s="8" t="n"/>
      <c r="C24" s="8" t="n"/>
      <c r="D24" s="8" t="n"/>
      <c r="E24" s="8" t="n"/>
      <c r="F24" s="8" t="n"/>
      <c r="G24" s="8" t="n"/>
      <c r="H24" s="8">
        <f>IF(E23="Done",G23,IF(E23="Partial",G23*0.5,0))</f>
        <v/>
      </c>
      <c r="I24" s="8" t="n"/>
      <c r="J24" s="8" t="n"/>
    </row>
    <row r="25">
      <c r="A25" s="8" t="n"/>
      <c r="B25" s="8" t="n"/>
      <c r="C25" s="8" t="n"/>
      <c r="D25" s="8" t="n"/>
      <c r="E25" s="8" t="n"/>
      <c r="F25" s="8" t="n"/>
      <c r="G25" s="8" t="n"/>
      <c r="H25" s="8">
        <f>IF(E24="Done",G24,IF(E24="Partial",G24*0.5,0))</f>
        <v/>
      </c>
      <c r="I25" s="8" t="n"/>
      <c r="J25" s="8" t="n"/>
    </row>
    <row r="26">
      <c r="A26" s="8" t="n"/>
      <c r="B26" s="8" t="n"/>
      <c r="C26" s="8" t="n"/>
      <c r="D26" s="8" t="n"/>
      <c r="E26" s="8" t="n"/>
      <c r="F26" s="8" t="n"/>
      <c r="G26" s="8" t="n"/>
      <c r="H26" s="8">
        <f>IF(E25="Done",G25,IF(E25="Partial",G25*0.5,0))</f>
        <v/>
      </c>
      <c r="I26" s="8" t="n"/>
      <c r="J26" s="8" t="n"/>
    </row>
    <row r="27">
      <c r="A27" s="8" t="n"/>
      <c r="B27" s="8" t="n"/>
      <c r="C27" s="8" t="n"/>
      <c r="D27" s="8" t="n"/>
      <c r="E27" s="8" t="n"/>
      <c r="F27" s="8" t="n"/>
      <c r="G27" s="8" t="n"/>
      <c r="H27" s="8">
        <f>IF(E26="Done",G26,IF(E26="Partial",G26*0.5,0))</f>
        <v/>
      </c>
      <c r="I27" s="8" t="n"/>
      <c r="J27" s="8" t="n"/>
    </row>
    <row r="28">
      <c r="A28" s="8" t="n"/>
      <c r="B28" s="8" t="n"/>
      <c r="C28" s="8" t="n"/>
      <c r="D28" s="8" t="n"/>
      <c r="E28" s="8" t="n"/>
      <c r="F28" s="8" t="n"/>
      <c r="G28" s="8" t="n"/>
      <c r="H28" s="8">
        <f>IF(E27="Done",G27,IF(E27="Partial",G27*0.5,0))</f>
        <v/>
      </c>
      <c r="I28" s="8" t="n"/>
      <c r="J28" s="8" t="n"/>
    </row>
    <row r="29">
      <c r="A29" s="8" t="n"/>
      <c r="B29" s="8" t="n"/>
      <c r="C29" s="8" t="n"/>
      <c r="D29" s="8" t="n"/>
      <c r="E29" s="8" t="n"/>
      <c r="F29" s="8" t="n"/>
      <c r="G29" s="8" t="n"/>
      <c r="H29" s="8">
        <f>IF(E28="Done",G28,IF(E28="Partial",G28*0.5,0))</f>
        <v/>
      </c>
      <c r="I29" s="8" t="n"/>
      <c r="J29" s="8" t="n"/>
    </row>
    <row r="30">
      <c r="A30" s="8" t="n"/>
      <c r="B30" s="8" t="n"/>
      <c r="C30" s="8" t="n"/>
      <c r="D30" s="8" t="n"/>
      <c r="E30" s="8" t="n"/>
      <c r="F30" s="8" t="n"/>
      <c r="G30" s="8" t="n"/>
      <c r="H30" s="8">
        <f>IF(E29="Done",G29,IF(E29="Partial",G29*0.5,0))</f>
        <v/>
      </c>
      <c r="I30" s="8" t="n"/>
      <c r="J30" s="8" t="n"/>
    </row>
    <row r="31">
      <c r="A31" s="8" t="n"/>
      <c r="B31" s="8" t="n"/>
      <c r="C31" s="8" t="n"/>
      <c r="D31" s="8" t="n"/>
      <c r="E31" s="8" t="n"/>
      <c r="F31" s="8" t="n"/>
      <c r="G31" s="8" t="n"/>
      <c r="H31" s="8">
        <f>IF(E30="Done",G30,IF(E30="Partial",G30*0.5,0))</f>
        <v/>
      </c>
      <c r="I31" s="8" t="n"/>
      <c r="J31" s="8" t="n"/>
    </row>
    <row r="32">
      <c r="A32" s="8" t="n"/>
      <c r="B32" s="8" t="n"/>
      <c r="C32" s="8" t="n"/>
      <c r="D32" s="8" t="n"/>
      <c r="E32" s="8" t="n"/>
      <c r="F32" s="8" t="n"/>
      <c r="G32" s="8" t="n"/>
      <c r="H32" s="8">
        <f>IF(E31="Done",G31,IF(E31="Partial",G31*0.5,0))</f>
        <v/>
      </c>
      <c r="I32" s="8" t="n"/>
      <c r="J32" s="8" t="n"/>
    </row>
    <row r="33">
      <c r="A33" s="8" t="n"/>
      <c r="B33" s="8" t="n"/>
      <c r="C33" s="8" t="n"/>
      <c r="D33" s="8" t="n"/>
      <c r="E33" s="8" t="n"/>
      <c r="F33" s="8" t="n"/>
      <c r="G33" s="8" t="n"/>
      <c r="H33" s="8">
        <f>IF(E32="Done",G32,IF(E32="Partial",G32*0.5,0))</f>
        <v/>
      </c>
      <c r="I33" s="8" t="n"/>
      <c r="J33" s="8" t="n"/>
    </row>
    <row r="34">
      <c r="A34" s="8" t="n"/>
      <c r="B34" s="8" t="n"/>
      <c r="C34" s="8" t="n"/>
      <c r="D34" s="8" t="n"/>
      <c r="E34" s="8" t="n"/>
      <c r="F34" s="8" t="n"/>
      <c r="G34" s="8" t="n"/>
      <c r="H34" s="8">
        <f>IF(E33="Done",G33,IF(E33="Partial",G33*0.5,0))</f>
        <v/>
      </c>
      <c r="I34" s="8" t="n"/>
      <c r="J34" s="8" t="n"/>
    </row>
    <row r="35">
      <c r="A35" s="8" t="n"/>
      <c r="B35" s="8" t="n"/>
      <c r="C35" s="8" t="n"/>
      <c r="D35" s="8" t="n"/>
      <c r="E35" s="8" t="n"/>
      <c r="F35" s="8" t="n"/>
      <c r="G35" s="8" t="n"/>
      <c r="H35" s="8">
        <f>IF(E34="Done",G34,IF(E34="Partial",G34*0.5,0))</f>
        <v/>
      </c>
      <c r="I35" s="8" t="n"/>
      <c r="J35" s="8" t="n"/>
    </row>
    <row r="36">
      <c r="A36" s="8" t="n"/>
      <c r="B36" s="8" t="n"/>
      <c r="C36" s="8" t="n"/>
      <c r="D36" s="8" t="n"/>
      <c r="E36" s="8" t="n"/>
      <c r="F36" s="8" t="n"/>
      <c r="G36" s="8" t="n"/>
      <c r="H36" s="8">
        <f>IF(E35="Done",G35,IF(E35="Partial",G35*0.5,0))</f>
        <v/>
      </c>
      <c r="I36" s="8" t="n"/>
      <c r="J36" s="8" t="n"/>
    </row>
    <row r="37">
      <c r="A37" s="8" t="n"/>
      <c r="B37" s="8" t="n"/>
      <c r="C37" s="8" t="n"/>
      <c r="D37" s="8" t="n"/>
      <c r="E37" s="8" t="n"/>
      <c r="F37" s="8" t="n"/>
      <c r="G37" s="8" t="n"/>
      <c r="H37" s="8">
        <f>IF(E36="Done",G36,IF(E36="Partial",G36*0.5,0))</f>
        <v/>
      </c>
      <c r="I37" s="8" t="n"/>
      <c r="J37" s="8" t="n"/>
    </row>
    <row r="38">
      <c r="A38" s="8" t="n"/>
      <c r="B38" s="8" t="n"/>
      <c r="C38" s="8" t="n"/>
      <c r="D38" s="8" t="n"/>
      <c r="E38" s="8" t="n"/>
      <c r="F38" s="8" t="n"/>
      <c r="G38" s="8" t="n"/>
      <c r="H38" s="8">
        <f>IF(E37="Done",G37,IF(E37="Partial",G37*0.5,0))</f>
        <v/>
      </c>
      <c r="I38" s="8" t="n"/>
      <c r="J38" s="8" t="n"/>
    </row>
    <row r="39">
      <c r="A39" s="8" t="n"/>
      <c r="B39" s="8" t="n"/>
      <c r="C39" s="8" t="n"/>
      <c r="D39" s="8" t="n"/>
      <c r="E39" s="8" t="n"/>
      <c r="F39" s="8" t="n"/>
      <c r="G39" s="8" t="n"/>
      <c r="H39" s="8">
        <f>IF(E38="Done",G38,IF(E38="Partial",G38*0.5,0))</f>
        <v/>
      </c>
      <c r="I39" s="8" t="n"/>
      <c r="J39" s="8" t="n"/>
    </row>
    <row r="40">
      <c r="A40" s="8" t="n"/>
      <c r="B40" s="8" t="n"/>
      <c r="C40" s="8" t="n"/>
      <c r="D40" s="8" t="n"/>
      <c r="E40" s="8" t="n"/>
      <c r="F40" s="8" t="n"/>
      <c r="G40" s="8" t="n"/>
      <c r="H40" s="8">
        <f>IF(E39="Done",G39,IF(E39="Partial",G39*0.5,0))</f>
        <v/>
      </c>
      <c r="I40" s="8" t="n"/>
      <c r="J40" s="8" t="n"/>
    </row>
    <row r="41">
      <c r="A41" s="8" t="n"/>
      <c r="B41" s="8" t="n"/>
      <c r="C41" s="8" t="n"/>
      <c r="D41" s="8" t="n"/>
      <c r="E41" s="8" t="n"/>
      <c r="F41" s="8" t="n"/>
      <c r="G41" s="8" t="n"/>
      <c r="H41" s="8">
        <f>IF(E40="Done",G40,IF(E40="Partial",G40*0.5,0))</f>
        <v/>
      </c>
      <c r="I41" s="8" t="n"/>
      <c r="J41" s="8" t="n"/>
    </row>
    <row r="42">
      <c r="A42" s="8" t="n"/>
      <c r="B42" s="8" t="n"/>
      <c r="C42" s="8" t="n"/>
      <c r="D42" s="8" t="n"/>
      <c r="E42" s="8" t="n"/>
      <c r="F42" s="8" t="n"/>
      <c r="G42" s="8" t="n"/>
      <c r="H42" s="8">
        <f>IF(E41="Done",G41,IF(E41="Partial",G41*0.5,0))</f>
        <v/>
      </c>
      <c r="I42" s="8" t="n"/>
      <c r="J42" s="8" t="n"/>
    </row>
    <row r="43">
      <c r="A43" s="8" t="n"/>
      <c r="B43" s="8" t="n"/>
      <c r="C43" s="8" t="n"/>
      <c r="D43" s="8" t="n"/>
      <c r="E43" s="8" t="n"/>
      <c r="F43" s="8" t="n"/>
      <c r="G43" s="8" t="n"/>
      <c r="H43" s="8">
        <f>IF(E42="Done",G42,IF(E42="Partial",G42*0.5,0))</f>
        <v/>
      </c>
      <c r="I43" s="8" t="n"/>
      <c r="J43" s="8" t="n"/>
    </row>
    <row r="45">
      <c r="B45" s="20" t="inlineStr">
        <is>
          <t>TAB TOTAL (includes blank headroom rows above for future additions)</t>
        </is>
      </c>
      <c r="G45" s="20">
        <f>SUM(G5:G42)</f>
        <v/>
      </c>
      <c r="H45" s="20">
        <f>SUM(H5:H42)</f>
        <v/>
      </c>
      <c r="I45" s="20">
        <f>IFERROR(TEXT(H44/G44,"0%")&amp;" complete","0% complete")</f>
        <v/>
      </c>
    </row>
  </sheetData>
  <mergeCells count="2">
    <mergeCell ref="A1:J1"/>
    <mergeCell ref="A2:J2"/>
  </mergeCells>
  <conditionalFormatting sqref="E5:E42">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0E7C7B"/>
    <outlinePr summaryBelow="1" summaryRight="1"/>
    <pageSetUpPr/>
  </sheetPr>
  <dimension ref="A1:J4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Local Inference Tier</t>
        </is>
      </c>
    </row>
    <row r="2" ht="16" customHeight="1">
      <c r="A2" s="2" t="inlineStr">
        <is>
          <t>The free-tier accelerant on w_workstation. Optional by definition — see 03_Model_Routing_Resilience for why it must never be load-bearing.</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LI-01</t>
        </is>
      </c>
      <c r="B5" s="8" t="inlineStr">
        <is>
          <t>Hardware profiled via Salt</t>
        </is>
      </c>
      <c r="C5" s="8" t="inlineStr">
        <is>
          <t>Xeon W-2225 (4c/8t), 64GB RAM (2x32GB @ 2933MT/s), RTX A4000 16GB, PCIe 3.0 x16 — verified 2026-10-03.</t>
        </is>
      </c>
      <c r="D5" s="8" t="inlineStr">
        <is>
          <t>Home-Network</t>
        </is>
      </c>
      <c r="E5" s="8" t="inlineStr">
        <is>
          <t>Done</t>
        </is>
      </c>
      <c r="F5" s="8" t="inlineStr">
        <is>
          <t>w_workstation</t>
        </is>
      </c>
      <c r="G5" s="8" t="n">
        <v>5</v>
      </c>
      <c r="H5" s="8">
        <f>IF(E5="Done",G5,IF(E5="Partial",G5*0.5,0))</f>
        <v/>
      </c>
      <c r="I5" s="8" t="inlineStr">
        <is>
          <t>Model/Routing Engineer</t>
        </is>
      </c>
      <c r="J5" s="8" t="inlineStr"/>
    </row>
    <row r="6">
      <c r="A6" s="8" t="inlineStr">
        <is>
          <t>LI-02</t>
        </is>
      </c>
      <c r="B6" s="8" t="inlineStr">
        <is>
          <t>Ollama excluded as target runtime</t>
        </is>
      </c>
      <c r="C6" s="8" t="inlineStr">
        <is>
          <t>User decision, 2026-10-02 — no MoE-aware expert-offload control.</t>
        </is>
      </c>
      <c r="D6" s="8" t="inlineStr">
        <is>
          <t>Home-Network</t>
        </is>
      </c>
      <c r="E6" s="8" t="inlineStr">
        <is>
          <t>Done</t>
        </is>
      </c>
      <c r="F6" s="8" t="inlineStr">
        <is>
          <t>catalog decision entity</t>
        </is>
      </c>
      <c r="G6" s="8" t="n">
        <v>3</v>
      </c>
      <c r="H6" s="8">
        <f>IF(E6="Done",G6,IF(E6="Partial",G6*0.5,0))</f>
        <v/>
      </c>
      <c r="I6" s="8" t="inlineStr">
        <is>
          <t>Model/Routing Engineer</t>
        </is>
      </c>
      <c r="J6" s="8" t="inlineStr"/>
    </row>
    <row r="7">
      <c r="A7" s="8" t="inlineStr">
        <is>
          <t>LI-03</t>
        </is>
      </c>
      <c r="B7" s="8" t="inlineStr">
        <is>
          <t>Runtime chosen: ik_llama.cpp — locked in</t>
        </is>
      </c>
      <c r="C7" s="8" t="inlineStr">
        <is>
          <t>LOCKED 2026-10-04: ik_llama.cpp over vLLM and KTransformers. vLLM has no official Windows support at all (only unofficial community forks); llama.cpp/ik_llama.cpp has real native Windows builds, no WSL2 needed. ik_llama.cpp specifically exists for this use case: offloading MoE inactive experts to system RAM on consumer hardware.</t>
        </is>
      </c>
      <c r="D7" s="8" t="inlineStr">
        <is>
          <t>Home-Network</t>
        </is>
      </c>
      <c r="E7" s="8" t="inlineStr">
        <is>
          <t>Partial</t>
        </is>
      </c>
      <c r="F7" s="8" t="inlineStr">
        <is>
          <t>hermes-five-provider-choices-locked-2026-10-04</t>
        </is>
      </c>
      <c r="G7" s="8" t="n">
        <v>10</v>
      </c>
      <c r="H7" s="8">
        <f>IF(E7="Done",G7,IF(E7="Partial",G7*0.5,0))</f>
        <v/>
      </c>
      <c r="I7" s="8" t="inlineStr">
        <is>
          <t>Model/Routing Engineer</t>
        </is>
      </c>
      <c r="J7" s="8" t="inlineStr">
        <is>
          <t>Decided, not yet installed/benchmarked. Build dependencies found — see D2_Providers_And_Deps</t>
        </is>
      </c>
    </row>
    <row r="8">
      <c r="A8" s="8" t="inlineStr">
        <is>
          <t>LI-04</t>
        </is>
      </c>
      <c r="B8" s="8" t="inlineStr">
        <is>
          <t>Model chosen + pulled</t>
        </is>
      </c>
      <c r="C8" s="8" t="inlineStr">
        <is>
          <t>Locked in 2026-10-04: Qwen3.6-35B-A3B. Compared against Qwen3.8-27B (dense, rejected — forfeits MoE RAM-offload), Qwen3.8-Flash-Next (MoE but ~2x oversized for this RAM/VRAM budget), and a community Qwen3.8-distilled 35B-A3B (same shape, but scored worse on real agentic tasks: 10/20 vs 16/20). Chosen, not yet pulled or benchmarked.</t>
        </is>
      </c>
      <c r="D8" s="8" t="inlineStr">
        <is>
          <t>Home-Network</t>
        </is>
      </c>
      <c r="E8" s="8" t="inlineStr">
        <is>
          <t>Partial</t>
        </is>
      </c>
      <c r="F8" s="8" t="inlineStr">
        <is>
          <t>hermes-local-model-locked-qwen3.6-35b-a3b-2026-10-04</t>
        </is>
      </c>
      <c r="G8" s="8" t="n">
        <v>8</v>
      </c>
      <c r="H8" s="8">
        <f>IF(E8="Done",G8,IF(E8="Partial",G8*0.5,0))</f>
        <v/>
      </c>
      <c r="I8" s="8" t="inlineStr">
        <is>
          <t>Model/Routing Engineer</t>
        </is>
      </c>
      <c r="J8" s="8" t="inlineStr">
        <is>
          <t>Pulling + benchmarking (LI-07) is the remaining step Found 2026-10-05 (community report, see D7_Setup_Execution_Workflow): Qwen3.5-35B-A3B (one version behind this project's locked Qwen3.6-35B-A3B) reportedly defaults to curl/exec-python instead of specialized tools -- a confidence/token-efficiency heuristic in smaller local models, fixable with an explicit tool-prioritization system-prompt directive. Worth testing specifically during LI-07 benchmarking, not just raw capability. Found 2026-10-05: tool-calling requires a specific server flag or it silently fails as text (llama.cpp: --jinja; vLLM: --enable-auto-tool-choice --tool-call-parser hermes; SGLang: --tool-call-parser qwen). ik_llama.cpp's own equivalent NOT yet verified -- check before assuming tool-calling works. See D8_Advanced_Reference.</t>
        </is>
      </c>
    </row>
    <row r="9">
      <c r="A9" s="8" t="inlineStr">
        <is>
          <t>LI-05</t>
        </is>
      </c>
      <c r="B9" s="8" t="inlineStr">
        <is>
          <t>WSL2 installed (if vLLM chosen)</t>
        </is>
      </c>
      <c r="C9" s="8" t="inlineStr">
        <is>
          <t>No official vLLM Windows build — blocks LI-03 if vLLM wins.</t>
        </is>
      </c>
      <c r="D9" s="8" t="inlineStr">
        <is>
          <t>Home-Network</t>
        </is>
      </c>
      <c r="E9" s="8" t="inlineStr">
        <is>
          <t>Not Started</t>
        </is>
      </c>
      <c r="F9" s="8" t="inlineStr"/>
      <c r="G9" s="8" t="n">
        <v>5</v>
      </c>
      <c r="H9" s="8">
        <f>IF(E9="Done",G9,IF(E9="Partial",G9*0.5,0))</f>
        <v/>
      </c>
      <c r="I9" s="8" t="inlineStr">
        <is>
          <t>Model/Routing Engineer</t>
        </is>
      </c>
      <c r="J9" s="8" t="inlineStr"/>
    </row>
    <row r="10">
      <c r="A10" s="8" t="inlineStr">
        <is>
          <t>LI-06</t>
        </is>
      </c>
      <c r="B10" s="8" t="inlineStr">
        <is>
          <t>Context window aligned with Hermes's floor</t>
        </is>
      </c>
      <c r="C10" s="8" t="inlineStr">
        <is>
          <t>Hermes has a hard MINIMUM_CONTEXT_LENGTH=64_000; new provider's --max-model-len must be &gt;=65536, matched in config.yaml (static, not live-probed).</t>
        </is>
      </c>
      <c r="D10" s="8" t="inlineStr">
        <is>
          <t>Either / Bridge</t>
        </is>
      </c>
      <c r="E10" s="8" t="inlineStr">
        <is>
          <t>Not Started</t>
        </is>
      </c>
      <c r="F10" s="8" t="inlineStr">
        <is>
          <t>agent/model_metadata.py:272 (hermes-vps)</t>
        </is>
      </c>
      <c r="G10" s="8" t="n">
        <v>5</v>
      </c>
      <c r="H10" s="8">
        <f>IF(E10="Done",G10,IF(E10="Partial",G10*0.5,0))</f>
        <v/>
      </c>
      <c r="I10" s="8" t="inlineStr">
        <is>
          <t>Model/Routing Engineer</t>
        </is>
      </c>
      <c r="J10" s="8" t="inlineStr">
        <is>
          <t>Found 2026-10-05: auto-detection from /v1/models is often wrong for local servers (2048 is a common failure symptom) -- set model.context_length explicitly in config.yaml. Hermes's stated floor is 64k for full feature support. This row can move to Done once that's set and verified against the real runtime. See D8_Advanced_Reference.</t>
        </is>
      </c>
    </row>
    <row r="11">
      <c r="A11" s="8" t="inlineStr">
        <is>
          <t>LI-07</t>
        </is>
      </c>
      <c r="B11" s="8" t="inlineStr">
        <is>
          <t>Benchmark vs. current 4B/8B baseline</t>
        </is>
      </c>
      <c r="C11" s="8" t="inlineStr">
        <is>
          <t>Speed + tool-call correctness head-to-head before cutover.</t>
        </is>
      </c>
      <c r="D11" s="8" t="inlineStr">
        <is>
          <t>Home-Network</t>
        </is>
      </c>
      <c r="E11" s="8" t="inlineStr">
        <is>
          <t>Not Started</t>
        </is>
      </c>
      <c r="F11" s="8" t="inlineStr"/>
      <c r="G11" s="8" t="n">
        <v>8</v>
      </c>
      <c r="H11" s="8">
        <f>IF(E11="Done",G11,IF(E11="Partial",G11*0.5,0))</f>
        <v/>
      </c>
      <c r="I11" s="8" t="inlineStr">
        <is>
          <t>Model/Routing Engineer</t>
        </is>
      </c>
      <c r="J11" s="8" t="inlineStr"/>
    </row>
    <row r="12">
      <c r="A12" s="8" t="inlineStr">
        <is>
          <t>LI-08</t>
        </is>
      </c>
      <c r="B12" s="8" t="inlineStr">
        <is>
          <t>Ollama decommissioned</t>
        </is>
      </c>
      <c r="C12" s="8" t="inlineStr">
        <is>
          <t>By design, only AFTER the replacement is verified end-to-end — brief coexistence is intentional, not a mistake.</t>
        </is>
      </c>
      <c r="D12" s="8" t="inlineStr">
        <is>
          <t>Home-Network</t>
        </is>
      </c>
      <c r="E12" s="8" t="inlineStr">
        <is>
          <t>Not Started</t>
        </is>
      </c>
      <c r="F12" s="8" t="inlineStr"/>
      <c r="G12" s="8" t="n">
        <v>3</v>
      </c>
      <c r="H12" s="8">
        <f>IF(E12="Done",G12,IF(E12="Partial",G12*0.5,0))</f>
        <v/>
      </c>
      <c r="I12" s="8" t="inlineStr">
        <is>
          <t>Model/Routing Engineer</t>
        </is>
      </c>
      <c r="J12" s="8" t="inlineStr"/>
    </row>
    <row r="13">
      <c r="A13" s="8" t="inlineStr">
        <is>
          <t>LI-09</t>
        </is>
      </c>
      <c r="B13" s="8" t="inlineStr">
        <is>
          <t>Vision capability preserved</t>
        </is>
      </c>
      <c r="C13" s="8" t="inlineStr">
        <is>
          <t>Don't lose the qwen3-vl screenshot/OCR capability when the runtime changes.</t>
        </is>
      </c>
      <c r="D13" s="8" t="inlineStr">
        <is>
          <t>Home-Network</t>
        </is>
      </c>
      <c r="E13" s="8" t="inlineStr">
        <is>
          <t>Not Started</t>
        </is>
      </c>
      <c r="F13" s="8" t="inlineStr"/>
      <c r="G13" s="8" t="n">
        <v>5</v>
      </c>
      <c r="H13" s="8">
        <f>IF(E13="Done",G13,IF(E13="Partial",G13*0.5,0))</f>
        <v/>
      </c>
      <c r="I13" s="8" t="inlineStr">
        <is>
          <t>Model/Routing Engineer</t>
        </is>
      </c>
      <c r="J13" s="8" t="inlineStr"/>
    </row>
    <row r="14">
      <c r="A14" s="8" t="inlineStr">
        <is>
          <t>LI-10</t>
        </is>
      </c>
      <c r="B14" s="8" t="inlineStr">
        <is>
          <t>Embeddings model preserved</t>
        </is>
      </c>
      <c r="C14" s="8" t="inlineStr">
        <is>
          <t>nomic-embed-text (or equivalent) needed for memory/RAG — easy to drop when swapping runtimes.</t>
        </is>
      </c>
      <c r="D14" s="8" t="inlineStr">
        <is>
          <t>Home-Network</t>
        </is>
      </c>
      <c r="E14" s="8" t="inlineStr">
        <is>
          <t>Not Started</t>
        </is>
      </c>
      <c r="F14" s="8" t="inlineStr"/>
      <c r="G14" s="8" t="n">
        <v>5</v>
      </c>
      <c r="H14" s="8">
        <f>IF(E14="Done",G14,IF(E14="Partial",G14*0.5,0))</f>
        <v/>
      </c>
      <c r="I14" s="8" t="inlineStr">
        <is>
          <t>Model/Routing Engineer</t>
        </is>
      </c>
      <c r="J14" s="8" t="inlineStr"/>
    </row>
    <row r="15">
      <c r="A15" s="8" t="inlineStr">
        <is>
          <t>LI-11</t>
        </is>
      </c>
      <c r="B15" s="8" t="inlineStr">
        <is>
          <t>GPU driver version policy</t>
        </is>
      </c>
      <c r="C15" s="8" t="inlineStr">
        <is>
          <t>No pinning/testing policy for NVIDIA driver updates on w_workstation.</t>
        </is>
      </c>
      <c r="D15" s="8" t="inlineStr">
        <is>
          <t>Home-Network</t>
        </is>
      </c>
      <c r="E15" s="8" t="inlineStr">
        <is>
          <t>Not Started</t>
        </is>
      </c>
      <c r="F15" s="8" t="inlineStr"/>
      <c r="G15" s="8" t="n">
        <v>3</v>
      </c>
      <c r="H15" s="8">
        <f>IF(E15="Done",G15,IF(E15="Partial",G15*0.5,0))</f>
        <v/>
      </c>
      <c r="I15" s="8" t="inlineStr">
        <is>
          <t>Home-Network Liaison</t>
        </is>
      </c>
      <c r="J15" s="8" t="inlineStr"/>
    </row>
    <row r="16">
      <c r="A16" s="8" t="inlineStr">
        <is>
          <t>LI-12</t>
        </is>
      </c>
      <c r="B16" s="8" t="inlineStr">
        <is>
          <t>Never-sleep power settings confirmed</t>
        </is>
      </c>
      <c r="C16" s="8" t="inlineStr">
        <is>
          <t>Flagged as an open question in VISION.md — never actually locked down.</t>
        </is>
      </c>
      <c r="D16" s="8" t="inlineStr">
        <is>
          <t>Home-Network</t>
        </is>
      </c>
      <c r="E16" s="8" t="inlineStr">
        <is>
          <t>Not Started</t>
        </is>
      </c>
      <c r="F16" s="8" t="inlineStr"/>
      <c r="G16" s="8" t="n">
        <v>5</v>
      </c>
      <c r="H16" s="8">
        <f>IF(E16="Done",G16,IF(E16="Partial",G16*0.5,0))</f>
        <v/>
      </c>
      <c r="I16" s="8" t="inlineStr">
        <is>
          <t>Home-Network Liaison</t>
        </is>
      </c>
      <c r="J16" s="8" t="inlineStr"/>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1">
      <c r="A41" s="8" t="n"/>
      <c r="B41" s="8" t="n"/>
      <c r="C41" s="8" t="n"/>
      <c r="D41" s="8" t="n"/>
      <c r="E41" s="8" t="n"/>
      <c r="F41" s="8" t="n"/>
      <c r="G41" s="8" t="n"/>
      <c r="H41" s="8">
        <f>IF(E41="Done",G41,IF(E41="Partial",G41*0.5,0))</f>
        <v/>
      </c>
      <c r="I41" s="8" t="n"/>
      <c r="J41" s="8" t="n"/>
    </row>
    <row r="42">
      <c r="A42" s="8" t="n"/>
      <c r="B42" s="8" t="n"/>
      <c r="C42" s="8" t="n"/>
      <c r="D42" s="8" t="n"/>
      <c r="E42" s="8" t="n"/>
      <c r="F42" s="8" t="n"/>
      <c r="G42" s="8" t="n"/>
      <c r="H42" s="8">
        <f>IF(E42="Done",G42,IF(E42="Partial",G42*0.5,0))</f>
        <v/>
      </c>
      <c r="I42" s="8" t="n"/>
      <c r="J42" s="8" t="n"/>
    </row>
    <row r="43">
      <c r="A43" s="8" t="n"/>
      <c r="B43" s="8" t="n"/>
      <c r="C43" s="8" t="n"/>
      <c r="D43" s="8" t="n"/>
      <c r="E43" s="8" t="n"/>
      <c r="F43" s="8" t="n"/>
      <c r="G43" s="8" t="n"/>
      <c r="H43" s="8">
        <f>IF(E43="Done",G43,IF(E43="Partial",G43*0.5,0))</f>
        <v/>
      </c>
      <c r="I43" s="8" t="n"/>
      <c r="J43" s="8" t="n"/>
    </row>
    <row r="44">
      <c r="A44" s="8" t="n"/>
      <c r="B44" s="8" t="n"/>
      <c r="C44" s="8" t="n"/>
      <c r="D44" s="8" t="n"/>
      <c r="E44" s="8" t="n"/>
      <c r="F44" s="8" t="n"/>
      <c r="G44" s="8" t="n"/>
      <c r="H44" s="8">
        <f>IF(E44="Done",G44,IF(E44="Partial",G44*0.5,0))</f>
        <v/>
      </c>
      <c r="I44" s="8" t="n"/>
      <c r="J44" s="8" t="n"/>
    </row>
    <row r="45">
      <c r="A45" s="8" t="n"/>
      <c r="B45" s="8" t="n"/>
      <c r="C45" s="8" t="n"/>
      <c r="D45" s="8" t="n"/>
      <c r="E45" s="8" t="n"/>
      <c r="F45" s="8" t="n"/>
      <c r="G45" s="8" t="n"/>
      <c r="H45" s="8">
        <f>IF(E45="Done",G45,IF(E45="Partial",G45*0.5,0))</f>
        <v/>
      </c>
      <c r="I45" s="8" t="n"/>
      <c r="J45" s="8" t="n"/>
    </row>
    <row r="46">
      <c r="A46" s="8" t="n"/>
      <c r="B46" s="8" t="n"/>
      <c r="C46" s="8" t="n"/>
      <c r="D46" s="8" t="n"/>
      <c r="E46" s="8" t="n"/>
      <c r="F46" s="8" t="n"/>
      <c r="G46" s="8" t="n"/>
      <c r="H46" s="8">
        <f>IF(E46="Done",G46,IF(E46="Partial",G46*0.5,0))</f>
        <v/>
      </c>
      <c r="I46" s="8" t="n"/>
      <c r="J46" s="8" t="n"/>
    </row>
    <row r="48">
      <c r="B48" s="20" t="inlineStr">
        <is>
          <t>TAB TOTAL (includes blank headroom rows above for future additions)</t>
        </is>
      </c>
      <c r="G48" s="20">
        <f>SUM(G5:G46)</f>
        <v/>
      </c>
      <c r="H48" s="20">
        <f>SUM(H5:H46)</f>
        <v/>
      </c>
      <c r="I48" s="20">
        <f>IFERROR(TEXT(H48/G48,"0%")&amp;" complete","0% complete")</f>
        <v/>
      </c>
    </row>
  </sheetData>
  <mergeCells count="2">
    <mergeCell ref="A1:J1"/>
    <mergeCell ref="A2:J2"/>
  </mergeCells>
  <conditionalFormatting sqref="E5:E46">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0E7C7B"/>
    <outlinePr summaryBelow="1" summaryRight="1"/>
    <pageSetUpPr/>
  </sheetPr>
  <dimension ref="A1:J4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Interfaces &amp; Access Paths</t>
        </is>
      </c>
    </row>
    <row r="2" ht="16" customHeight="1">
      <c r="A2" s="2" t="inlineStr">
        <is>
          <t>However you reach Hermes, it must be the same Hermes — this tab is about the doors, not what's behind them.</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IA-01</t>
        </is>
      </c>
      <c r="B5" s="8" t="inlineStr">
        <is>
          <t>Web UI access path decided</t>
        </is>
      </c>
      <c r="C5" s="8" t="inlineStr">
        <is>
          <t>Password-gated, behind existing DuckDNS + NPM, path-based Custom Location on theguylab.duckdns.org.</t>
        </is>
      </c>
      <c r="D5" s="8" t="inlineStr">
        <is>
          <t>Hermes-VPS</t>
        </is>
      </c>
      <c r="E5" s="8" t="inlineStr">
        <is>
          <t>Done</t>
        </is>
      </c>
      <c r="F5" s="8" t="inlineStr">
        <is>
          <t>decision only, not yet built</t>
        </is>
      </c>
      <c r="G5" s="8" t="n">
        <v>3</v>
      </c>
      <c r="H5" s="8">
        <f>IF(E5="Done",G5,IF(E5="Partial",G5*0.5,0))</f>
        <v/>
      </c>
      <c r="I5" s="8" t="inlineStr">
        <is>
          <t>Interface Engineer</t>
        </is>
      </c>
      <c r="J5" s="8" t="inlineStr"/>
    </row>
    <row r="6">
      <c r="A6" s="8" t="inlineStr">
        <is>
          <t>IA-02</t>
        </is>
      </c>
      <c r="B6" s="8" t="inlineStr">
        <is>
          <t>Web UI Custom Location + auth built</t>
        </is>
      </c>
      <c r="C6" s="8" t="inlineStr">
        <is>
          <t>Basic Auth vs. app-level login still an open decision; nothing built either way.</t>
        </is>
      </c>
      <c r="D6" s="8" t="inlineStr">
        <is>
          <t>Hermes-VPS</t>
        </is>
      </c>
      <c r="E6" s="8" t="inlineStr">
        <is>
          <t>Not Started</t>
        </is>
      </c>
      <c r="F6" s="8" t="inlineStr"/>
      <c r="G6" s="8" t="n">
        <v>8</v>
      </c>
      <c r="H6" s="8">
        <f>IF(E6="Done",G6,IF(E6="Partial",G6*0.5,0))</f>
        <v/>
      </c>
      <c r="I6" s="8" t="inlineStr">
        <is>
          <t>Interface Engineer</t>
        </is>
      </c>
      <c r="J6" s="8" t="inlineStr">
        <is>
          <t>See SH-06 cross-reference and D6_Web_Dashboard -- the dashboard's own 3-tier auth model (loopback/password/OAuth/OIDC) is the mechanism this row would actually configure, not something to build custom.</t>
        </is>
      </c>
    </row>
    <row r="7">
      <c r="A7" s="8" t="inlineStr">
        <is>
          <t>IA-03</t>
        </is>
      </c>
      <c r="B7" s="8" t="inlineStr">
        <is>
          <t>Hermes Desktop installed, pointed at VPS backend</t>
        </is>
      </c>
      <c r="C7" s="8" t="inlineStr">
        <is>
          <t>Zero progress — this is G6, and blocks ever proving 'same experience, two locations.'</t>
        </is>
      </c>
      <c r="D7" s="8" t="inlineStr">
        <is>
          <t>N/A (process/doc)</t>
        </is>
      </c>
      <c r="E7" s="8" t="inlineStr">
        <is>
          <t>Not Started</t>
        </is>
      </c>
      <c r="F7" s="8" t="inlineStr"/>
      <c r="G7" s="8" t="n">
        <v>10</v>
      </c>
      <c r="H7" s="8">
        <f>IF(E7="Done",G7,IF(E7="Partial",G7*0.5,0))</f>
        <v/>
      </c>
      <c r="I7" s="8" t="inlineStr">
        <is>
          <t>Interface Engineer</t>
        </is>
      </c>
      <c r="J7" s="8" t="inlineStr"/>
    </row>
    <row r="8">
      <c r="A8" s="8" t="inlineStr">
        <is>
          <t>IA-04</t>
        </is>
      </c>
      <c r="B8" s="8" t="inlineStr">
        <is>
          <t>Same-experience-two-locations test executed</t>
        </is>
      </c>
      <c r="C8" s="8" t="inlineStr">
        <is>
          <t>The actual proof step for G6 — not built until IA-03 exists.</t>
        </is>
      </c>
      <c r="D8" s="8" t="inlineStr">
        <is>
          <t>N/A (process/doc)</t>
        </is>
      </c>
      <c r="E8" s="8" t="inlineStr">
        <is>
          <t>Not Started</t>
        </is>
      </c>
      <c r="F8" s="8" t="inlineStr"/>
      <c r="G8" s="8" t="n">
        <v>5</v>
      </c>
      <c r="H8" s="8">
        <f>IF(E8="Done",G8,IF(E8="Partial",G8*0.5,0))</f>
        <v/>
      </c>
      <c r="I8" s="8" t="inlineStr">
        <is>
          <t>Hermes Design Specialist</t>
        </is>
      </c>
      <c r="J8" s="8" t="inlineStr"/>
    </row>
    <row r="9">
      <c r="A9" s="8" t="inlineStr">
        <is>
          <t>IA-05</t>
        </is>
      </c>
      <c r="B9" s="8" t="inlineStr">
        <is>
          <t>Telegram channel configured — locked in</t>
        </is>
      </c>
      <c r="C9" s="8" t="inlineStr">
        <is>
          <t>LOCKED 2026-10-04: Telegram over Signal — official Bot API (reliable) vs. Signal's unofficial signal-cli integration (more brittle). hermes-gateway process is running; no channel wired on top of it yet. This is the interface built specifically for the GP 'looks like ordinary traffic' constraint.</t>
        </is>
      </c>
      <c r="D9" s="8" t="inlineStr">
        <is>
          <t>Hermes-VPS</t>
        </is>
      </c>
      <c r="E9" s="8" t="inlineStr">
        <is>
          <t>Partial</t>
        </is>
      </c>
      <c r="F9" s="8" t="inlineStr">
        <is>
          <t>hermes-five-provider-choices-locked-2026-10-04</t>
        </is>
      </c>
      <c r="G9" s="8" t="n">
        <v>10</v>
      </c>
      <c r="H9" s="8">
        <f>IF(E9="Done",G9,IF(E9="Partial",G9*0.5,0))</f>
        <v/>
      </c>
      <c r="I9" s="8" t="inlineStr">
        <is>
          <t>Interface Engineer</t>
        </is>
      </c>
      <c r="J9" s="8" t="inlineStr">
        <is>
          <t>Needs a Telegram Bot token via BotFather — a new vault-worthy credential, not yet created Found 2026-10-05: the dashboard's Pairing page is the built-in UI for approving/revoking Telegram (and other platform) users once the bot token exists -- no custom approval flow needed. See D6_Web_Dashboard. Found 2026-10-05, exact verified sequence: hermes gateway setup (config only, doesn't start) -&gt; hermes gateway run foreground, confirm 'telegram connected' in log -&gt; Ctrl-C -&gt; hermes gateway start for the managed service. Polling mode = no inbound firewall port needed. Non-interactive install: printf 'n\nY\n' | hermes gateway install. See D8_Advanced_Reference.</t>
        </is>
      </c>
    </row>
    <row r="10">
      <c r="A10" s="8" t="inlineStr">
        <is>
          <t>IA-06</t>
        </is>
      </c>
      <c r="B10" s="8" t="inlineStr">
        <is>
          <t>GP-workstation-as-backend-host / Zscaler-bypass resolved</t>
        </is>
      </c>
      <c r="C10" s="8" t="inlineStr">
        <is>
          <t>Both still-open asks point the opposite direction from the 'ordinary traffic only' design — a decision either way closes this out.</t>
        </is>
      </c>
      <c r="D10" s="8" t="inlineStr">
        <is>
          <t>N/A (process/doc)</t>
        </is>
      </c>
      <c r="E10" s="8" t="inlineStr">
        <is>
          <t>Not Started</t>
        </is>
      </c>
      <c r="F10" s="8" t="inlineStr">
        <is>
          <t>flagged, unresolved</t>
        </is>
      </c>
      <c r="G10" s="8" t="n">
        <v>8</v>
      </c>
      <c r="H10" s="8">
        <f>IF(E10="Done",G10,IF(E10="Partial",G10*0.5,0))</f>
        <v/>
      </c>
      <c r="I10" s="8" t="inlineStr">
        <is>
          <t>Security Reviewer</t>
        </is>
      </c>
      <c r="J10" s="8" t="inlineStr"/>
    </row>
    <row r="11">
      <c r="A11" s="8" t="inlineStr">
        <is>
          <t>IA-07</t>
        </is>
      </c>
      <c r="B11" s="8" t="inlineStr">
        <is>
          <t>Mobile access path considered</t>
        </is>
      </c>
      <c r="C11" s="8" t="inlineStr">
        <is>
          <t>Phone browser to web UI, or a messaging app — not explicitly designed for yet.</t>
        </is>
      </c>
      <c r="D11" s="8" t="inlineStr">
        <is>
          <t>N/A (process/doc)</t>
        </is>
      </c>
      <c r="E11" s="8" t="inlineStr">
        <is>
          <t>Not Started</t>
        </is>
      </c>
      <c r="F11" s="8" t="inlineStr"/>
      <c r="G11" s="8" t="n">
        <v>3</v>
      </c>
      <c r="H11" s="8">
        <f>IF(E11="Done",G11,IF(E11="Partial",G11*0.5,0))</f>
        <v/>
      </c>
      <c r="I11" s="8" t="inlineStr">
        <is>
          <t>Interface Engineer</t>
        </is>
      </c>
      <c r="J11" s="8" t="inlineStr"/>
    </row>
    <row r="12">
      <c r="A12" s="8" t="inlineStr">
        <is>
          <t>IA-08</t>
        </is>
      </c>
      <c r="B12" s="8" t="inlineStr">
        <is>
          <t>Voice interface explicitly scoped or deferred</t>
        </is>
      </c>
      <c r="C12" s="8" t="inlineStr">
        <is>
          <t>Not a current goal — worth writing down as a deliberate non-goal rather than leaving it ambiguous.</t>
        </is>
      </c>
      <c r="D12" s="8" t="inlineStr">
        <is>
          <t>N/A (process/doc)</t>
        </is>
      </c>
      <c r="E12" s="8" t="inlineStr">
        <is>
          <t>Not Started</t>
        </is>
      </c>
      <c r="F12" s="8" t="inlineStr"/>
      <c r="G12" s="8" t="n">
        <v>2</v>
      </c>
      <c r="H12" s="8">
        <f>IF(E12="Done",G12,IF(E12="Partial",G12*0.5,0))</f>
        <v/>
      </c>
      <c r="I12" s="8" t="inlineStr">
        <is>
          <t>Hermes Design Specialist</t>
        </is>
      </c>
      <c r="J12" s="8" t="inlineStr">
        <is>
          <t>DECIDED 2026-10-05: explicitly deferred, not part of this execution wave -- focus on core agent (memory/Telegram/local model/security) first.</t>
        </is>
      </c>
    </row>
    <row r="13">
      <c r="A13" s="8" t="inlineStr">
        <is>
          <t>IA-09</t>
        </is>
      </c>
      <c r="B13" s="8" t="inlineStr">
        <is>
          <t>Access logging per interface</t>
        </is>
      </c>
      <c r="C13" s="8" t="inlineStr">
        <is>
          <t>No record of who/when hit the web UI, Desktop, or future Telegram channel.</t>
        </is>
      </c>
      <c r="D13" s="8" t="inlineStr">
        <is>
          <t>Hermes-VPS</t>
        </is>
      </c>
      <c r="E13" s="8" t="inlineStr">
        <is>
          <t>Not Started</t>
        </is>
      </c>
      <c r="F13" s="8" t="inlineStr"/>
      <c r="G13" s="8" t="n">
        <v>3</v>
      </c>
      <c r="H13" s="8">
        <f>IF(E13="Done",G13,IF(E13="Partial",G13*0.5,0))</f>
        <v/>
      </c>
      <c r="I13" s="8" t="inlineStr">
        <is>
          <t>Security Reviewer</t>
        </is>
      </c>
      <c r="J13" s="8" t="inlineStr"/>
    </row>
    <row r="14">
      <c r="A14" s="8" t="inlineStr">
        <is>
          <t>IA-10</t>
        </is>
      </c>
      <c r="B14" s="8" t="inlineStr">
        <is>
          <t>TTS provider: Edge — locked in</t>
        </is>
      </c>
      <c r="C14" s="8" t="inlineStr">
        <is>
          <t>LOCKED 2026-10-04: Edge TTS, the Hermes default — free, no API key, 322 voices/74 languages. Low-stakes pick since voice is already a deferred non-goal elsewhere in this workbook; not worth more setup effort than the default.</t>
        </is>
      </c>
      <c r="D14" s="8" t="inlineStr">
        <is>
          <t>Hermes-VPS</t>
        </is>
      </c>
      <c r="E14" s="8" t="inlineStr">
        <is>
          <t>Partial</t>
        </is>
      </c>
      <c r="F14" s="8" t="inlineStr">
        <is>
          <t>hermes-five-provider-choices-locked-2026-10-04</t>
        </is>
      </c>
      <c r="G14" s="8" t="n">
        <v>2</v>
      </c>
      <c r="H14" s="8">
        <f>IF(E14="Done",G14,IF(E14="Partial",G14*0.5,0))</f>
        <v/>
      </c>
      <c r="I14" s="8" t="inlineStr">
        <is>
          <t>Interface Engineer</t>
        </is>
      </c>
      <c r="J14" s="8" t="inlineStr">
        <is>
          <t>Decided, not yet confirmed configured (it may already be default-active with zero setup needed)</t>
        </is>
      </c>
    </row>
    <row r="15">
      <c r="A15" s="8" t="n"/>
      <c r="B15" s="8" t="n"/>
      <c r="C15" s="8" t="n"/>
      <c r="D15" s="8" t="n"/>
      <c r="E15" s="8" t="n"/>
      <c r="F15" s="8" t="n"/>
      <c r="G15" s="8" t="n"/>
      <c r="H15" s="8">
        <f>IF(E15="Done",G15,IF(E15="Partial",G15*0.5,0))</f>
        <v/>
      </c>
      <c r="I15" s="8" t="n"/>
      <c r="J15" s="8" t="n"/>
    </row>
    <row r="16">
      <c r="A16" s="8" t="n"/>
      <c r="B16" s="8" t="n"/>
      <c r="C16" s="8" t="n"/>
      <c r="D16" s="8" t="n"/>
      <c r="E16" s="8" t="n"/>
      <c r="F16" s="8" t="n"/>
      <c r="G16" s="8" t="n"/>
      <c r="H16" s="8">
        <f>IF(E16="Done",G16,IF(E16="Partial",G16*0.5,0))</f>
        <v/>
      </c>
      <c r="I16" s="8" t="n"/>
      <c r="J16" s="8" t="n"/>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1">
      <c r="A41" s="8" t="n"/>
      <c r="B41" s="8" t="n"/>
      <c r="C41" s="8" t="n"/>
      <c r="D41" s="8" t="n"/>
      <c r="E41" s="8" t="n"/>
      <c r="F41" s="8" t="n"/>
      <c r="G41" s="8" t="n"/>
      <c r="H41" s="8">
        <f>IF(E41="Done",G41,IF(E41="Partial",G41*0.5,0))</f>
        <v/>
      </c>
      <c r="I41" s="8" t="n"/>
      <c r="J41" s="8" t="n"/>
    </row>
    <row r="42">
      <c r="A42" s="8" t="n"/>
      <c r="B42" s="8" t="n"/>
      <c r="C42" s="8" t="n"/>
      <c r="D42" s="8" t="n"/>
      <c r="E42" s="8" t="n"/>
      <c r="F42" s="8" t="n"/>
      <c r="G42" s="8" t="n"/>
      <c r="H42" s="8">
        <f>IF(E42="Done",G42,IF(E42="Partial",G42*0.5,0))</f>
        <v/>
      </c>
      <c r="I42" s="8" t="n"/>
      <c r="J42" s="8" t="n"/>
    </row>
    <row r="43">
      <c r="A43" s="8" t="n"/>
      <c r="B43" s="8" t="n"/>
      <c r="C43" s="8" t="n"/>
      <c r="D43" s="8" t="n"/>
      <c r="E43" s="8" t="n"/>
      <c r="F43" s="8" t="n"/>
      <c r="G43" s="8" t="n"/>
      <c r="H43" s="8">
        <f>IF(E43="Done",G43,IF(E43="Partial",G43*0.5,0))</f>
        <v/>
      </c>
      <c r="I43" s="8" t="n"/>
      <c r="J43" s="8" t="n"/>
    </row>
    <row r="44">
      <c r="A44" s="8" t="n"/>
      <c r="B44" s="8" t="n"/>
      <c r="C44" s="8" t="n"/>
      <c r="D44" s="8" t="n"/>
      <c r="E44" s="8" t="n"/>
      <c r="F44" s="8" t="n"/>
      <c r="G44" s="8" t="n"/>
      <c r="H44" s="8">
        <f>IF(E44="Done",G44,IF(E44="Partial",G44*0.5,0))</f>
        <v/>
      </c>
      <c r="I44" s="8" t="n"/>
      <c r="J44" s="8" t="n"/>
    </row>
    <row r="46">
      <c r="B46" s="20" t="inlineStr">
        <is>
          <t>TAB TOTAL (includes blank headroom rows above for future additions)</t>
        </is>
      </c>
      <c r="G46" s="20">
        <f>SUM(G5:G44)</f>
        <v/>
      </c>
      <c r="H46" s="20">
        <f>SUM(H5:H44)</f>
        <v/>
      </c>
      <c r="I46" s="20">
        <f>IFERROR(TEXT(H46/G46,"0%")&amp;" complete","0% complete")</f>
        <v/>
      </c>
    </row>
  </sheetData>
  <mergeCells count="2">
    <mergeCell ref="A1:J1"/>
    <mergeCell ref="A2:J2"/>
  </mergeCells>
  <conditionalFormatting sqref="E5:E44">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0E7C7B"/>
    <outlinePr summaryBelow="1" summaryRight="1"/>
    <pageSetUpPr/>
  </sheetPr>
  <dimension ref="A1:J4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Observability</t>
        </is>
      </c>
    </row>
    <row r="2" ht="16" customHeight="1">
      <c r="A2" s="2" t="inlineStr">
        <is>
          <t>You should be able to tell Hermes is healthy without SSHing anywhere.</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OB-01</t>
        </is>
      </c>
      <c r="B5" s="8" t="inlineStr">
        <is>
          <t>Routing-decision logging</t>
        </is>
      </c>
      <c r="C5" s="8" t="inlineStr">
        <is>
          <t>complexity_router.log captures every verdict + reason.</t>
        </is>
      </c>
      <c r="D5" s="8" t="inlineStr">
        <is>
          <t>Hermes-VPS</t>
        </is>
      </c>
      <c r="E5" s="8" t="inlineStr">
        <is>
          <t>Partial</t>
        </is>
      </c>
      <c r="F5" s="8" t="inlineStr">
        <is>
          <t>/home/hermes/.hermes/logs/complexity_router.log</t>
        </is>
      </c>
      <c r="G5" s="8" t="n">
        <v>3</v>
      </c>
      <c r="H5" s="8">
        <f>IF(E5="Done",G5,IF(E5="Partial",G5*0.5,0))</f>
        <v/>
      </c>
      <c r="I5" s="8" t="inlineStr">
        <is>
          <t>Observability</t>
        </is>
      </c>
      <c r="J5" s="8" t="inlineStr">
        <is>
          <t>Exists, nobody's watching it</t>
        </is>
      </c>
    </row>
    <row r="6">
      <c r="A6" s="8" t="inlineStr">
        <is>
          <t>OB-02</t>
        </is>
      </c>
      <c r="B6" s="8" t="inlineStr">
        <is>
          <t>Alerting: tunnel drop / local-model-down / minion-lost / Hermes crash</t>
        </is>
      </c>
      <c r="C6" s="8" t="inlineStr">
        <is>
          <t>No notification path to you exists for any of these today.</t>
        </is>
      </c>
      <c r="D6" s="8" t="inlineStr">
        <is>
          <t>Either / Bridge</t>
        </is>
      </c>
      <c r="E6" s="8" t="inlineStr">
        <is>
          <t>Not Started</t>
        </is>
      </c>
      <c r="F6" s="8" t="inlineStr"/>
      <c r="G6" s="8" t="n">
        <v>10</v>
      </c>
      <c r="H6" s="8">
        <f>IF(E6="Done",G6,IF(E6="Partial",G6*0.5,0))</f>
        <v/>
      </c>
      <c r="I6" s="8" t="inlineStr">
        <is>
          <t>Observability</t>
        </is>
      </c>
      <c r="J6" s="8" t="inlineStr"/>
    </row>
    <row r="7">
      <c r="A7" s="8" t="inlineStr">
        <is>
          <t>OB-03</t>
        </is>
      </c>
      <c r="B7" s="8" t="inlineStr">
        <is>
          <t>Unified health dashboard</t>
        </is>
      </c>
      <c r="C7" s="8" t="inlineStr">
        <is>
          <t>Local-vs-Codex indicator + tunnel status + VPS health, in one place.</t>
        </is>
      </c>
      <c r="D7" s="8" t="inlineStr">
        <is>
          <t>Hermes-VPS</t>
        </is>
      </c>
      <c r="E7" s="8" t="inlineStr">
        <is>
          <t>Not Started</t>
        </is>
      </c>
      <c r="F7" s="8" t="inlineStr"/>
      <c r="G7" s="8" t="n">
        <v>8</v>
      </c>
      <c r="H7" s="8">
        <f>IF(E7="Done",G7,IF(E7="Partial",G7*0.5,0))</f>
        <v/>
      </c>
      <c r="I7" s="8" t="inlineStr">
        <is>
          <t>Observability</t>
        </is>
      </c>
      <c r="J7" s="8" t="inlineStr"/>
    </row>
    <row r="8">
      <c r="A8" s="8" t="inlineStr">
        <is>
          <t>OB-04</t>
        </is>
      </c>
      <c r="B8" s="8" t="inlineStr">
        <is>
          <t>Beszel (or equivalent) coverage extended to hermes-vps</t>
        </is>
      </c>
      <c r="C8" s="8" t="inlineStr">
        <is>
          <t>Beszel watches home-lab boxes only; nothing watches the VPS from either side.</t>
        </is>
      </c>
      <c r="D8" s="8" t="inlineStr">
        <is>
          <t>Hermes-VPS</t>
        </is>
      </c>
      <c r="E8" s="8" t="inlineStr">
        <is>
          <t>Not Started</t>
        </is>
      </c>
      <c r="F8" s="8" t="inlineStr"/>
      <c r="G8" s="8" t="n">
        <v>5</v>
      </c>
      <c r="H8" s="8">
        <f>IF(E8="Done",G8,IF(E8="Partial",G8*0.5,0))</f>
        <v/>
      </c>
      <c r="I8" s="8" t="inlineStr">
        <is>
          <t>Observability</t>
        </is>
      </c>
      <c r="J8" s="8" t="inlineStr"/>
    </row>
    <row r="9">
      <c r="A9" s="8" t="inlineStr">
        <is>
          <t>OB-05</t>
        </is>
      </c>
      <c r="B9" s="8" t="inlineStr">
        <is>
          <t>Log retention/rotation policy</t>
        </is>
      </c>
      <c r="C9" s="8" t="inlineStr">
        <is>
          <t>No consistent policy across any Hermes-side log.</t>
        </is>
      </c>
      <c r="D9" s="8" t="inlineStr">
        <is>
          <t>Hermes-VPS</t>
        </is>
      </c>
      <c r="E9" s="8" t="inlineStr">
        <is>
          <t>Not Started</t>
        </is>
      </c>
      <c r="F9" s="8" t="inlineStr"/>
      <c r="G9" s="8" t="n">
        <v>3</v>
      </c>
      <c r="H9" s="8">
        <f>IF(E9="Done",G9,IF(E9="Partial",G9*0.5,0))</f>
        <v/>
      </c>
      <c r="I9" s="8" t="inlineStr">
        <is>
          <t>Observability</t>
        </is>
      </c>
      <c r="J9" s="8" t="inlineStr"/>
    </row>
    <row r="10">
      <c r="A10" s="8" t="inlineStr">
        <is>
          <t>OB-06</t>
        </is>
      </c>
      <c r="B10" s="8" t="inlineStr">
        <is>
          <t>Synthetic end-to-end health probe</t>
        </is>
      </c>
      <c r="C10" s="8" t="inlineStr">
        <is>
          <t>A scheduled test prompt that proves full aliveness, not just 'process is running.'</t>
        </is>
      </c>
      <c r="D10" s="8" t="inlineStr">
        <is>
          <t>Hermes-VPS</t>
        </is>
      </c>
      <c r="E10" s="8" t="inlineStr">
        <is>
          <t>Not Started</t>
        </is>
      </c>
      <c r="F10" s="8" t="inlineStr"/>
      <c r="G10" s="8" t="n">
        <v>5</v>
      </c>
      <c r="H10" s="8">
        <f>IF(E10="Done",G10,IF(E10="Partial",G10*0.5,0))</f>
        <v/>
      </c>
      <c r="I10" s="8" t="inlineStr">
        <is>
          <t>Observability</t>
        </is>
      </c>
      <c r="J10" s="8" t="inlineStr"/>
    </row>
    <row r="11">
      <c r="A11" s="8" t="n"/>
      <c r="B11" s="8" t="n"/>
      <c r="C11" s="8" t="n"/>
      <c r="D11" s="8" t="n"/>
      <c r="E11" s="8" t="n"/>
      <c r="F11" s="8" t="n"/>
      <c r="G11" s="8" t="n"/>
      <c r="H11" s="8">
        <f>IF(E11="Done",G11,IF(E11="Partial",G11*0.5,0))</f>
        <v/>
      </c>
      <c r="I11" s="8" t="n"/>
      <c r="J11" s="8" t="n"/>
    </row>
    <row r="12">
      <c r="A12" s="8" t="n"/>
      <c r="B12" s="8" t="n"/>
      <c r="C12" s="8" t="n"/>
      <c r="D12" s="8" t="n"/>
      <c r="E12" s="8" t="n"/>
      <c r="F12" s="8" t="n"/>
      <c r="G12" s="8" t="n"/>
      <c r="H12" s="8">
        <f>IF(E12="Done",G12,IF(E12="Partial",G12*0.5,0))</f>
        <v/>
      </c>
      <c r="I12" s="8" t="n"/>
      <c r="J12" s="8" t="n"/>
    </row>
    <row r="13">
      <c r="A13" s="8" t="n"/>
      <c r="B13" s="8" t="n"/>
      <c r="C13" s="8" t="n"/>
      <c r="D13" s="8" t="n"/>
      <c r="E13" s="8" t="n"/>
      <c r="F13" s="8" t="n"/>
      <c r="G13" s="8" t="n"/>
      <c r="H13" s="8">
        <f>IF(E13="Done",G13,IF(E13="Partial",G13*0.5,0))</f>
        <v/>
      </c>
      <c r="I13" s="8" t="n"/>
      <c r="J13" s="8" t="n"/>
    </row>
    <row r="14">
      <c r="A14" s="8" t="n"/>
      <c r="B14" s="8" t="n"/>
      <c r="C14" s="8" t="n"/>
      <c r="D14" s="8" t="n"/>
      <c r="E14" s="8" t="n"/>
      <c r="F14" s="8" t="n"/>
      <c r="G14" s="8" t="n"/>
      <c r="H14" s="8">
        <f>IF(E14="Done",G14,IF(E14="Partial",G14*0.5,0))</f>
        <v/>
      </c>
      <c r="I14" s="8" t="n"/>
      <c r="J14" s="8" t="n"/>
    </row>
    <row r="15">
      <c r="A15" s="8" t="n"/>
      <c r="B15" s="8" t="n"/>
      <c r="C15" s="8" t="n"/>
      <c r="D15" s="8" t="n"/>
      <c r="E15" s="8" t="n"/>
      <c r="F15" s="8" t="n"/>
      <c r="G15" s="8" t="n"/>
      <c r="H15" s="8">
        <f>IF(E15="Done",G15,IF(E15="Partial",G15*0.5,0))</f>
        <v/>
      </c>
      <c r="I15" s="8" t="n"/>
      <c r="J15" s="8" t="n"/>
    </row>
    <row r="16">
      <c r="A16" s="8" t="n"/>
      <c r="B16" s="8" t="n"/>
      <c r="C16" s="8" t="n"/>
      <c r="D16" s="8" t="n"/>
      <c r="E16" s="8" t="n"/>
      <c r="F16" s="8" t="n"/>
      <c r="G16" s="8" t="n"/>
      <c r="H16" s="8">
        <f>IF(E16="Done",G16,IF(E16="Partial",G16*0.5,0))</f>
        <v/>
      </c>
      <c r="I16" s="8" t="n"/>
      <c r="J16" s="8" t="n"/>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2">
      <c r="B42" s="20" t="inlineStr">
        <is>
          <t>TAB TOTAL (includes blank headroom rows above for future additions)</t>
        </is>
      </c>
      <c r="G42" s="20">
        <f>SUM(G5:G40)</f>
        <v/>
      </c>
      <c r="H42" s="20">
        <f>SUM(H5:H40)</f>
        <v/>
      </c>
      <c r="I42" s="20">
        <f>IFERROR(TEXT(H42/G42,"0%")&amp;" complete","0% complete")</f>
        <v/>
      </c>
    </row>
  </sheetData>
  <mergeCells count="2">
    <mergeCell ref="A1:J1"/>
    <mergeCell ref="A2:J2"/>
  </mergeCells>
  <conditionalFormatting sqref="E5:E40">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0E7C7B"/>
    <outlinePr summaryBelow="1" summaryRight="1"/>
    <pageSetUpPr/>
  </sheetPr>
  <dimension ref="A1:J4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Backup &amp; Disaster Recovery</t>
        </is>
      </c>
    </row>
    <row r="2" ht="16" customHeight="1">
      <c r="A2" s="2" t="inlineStr">
        <is>
          <t>If a box disappears tonight, what comes back, and how.</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BD-01</t>
        </is>
      </c>
      <c r="B5" s="8" t="inlineStr">
        <is>
          <t>Catalog export + git backup</t>
        </is>
      </c>
      <c r="C5" s="8" t="inlineStr">
        <is>
          <t>export_catalog_memory.py dumps hermes-tagged entities/relations to memory/catalog-export.json, committed.</t>
        </is>
      </c>
      <c r="D5" s="8" t="inlineStr">
        <is>
          <t>N/A (process/doc)</t>
        </is>
      </c>
      <c r="E5" s="8" t="inlineStr">
        <is>
          <t>Done</t>
        </is>
      </c>
      <c r="F5" s="8" t="inlineStr">
        <is>
          <t>scripts/export_catalog_memory.py</t>
        </is>
      </c>
      <c r="G5" s="8" t="n">
        <v>5</v>
      </c>
      <c r="H5" s="8">
        <f>IF(E5="Done",G5,IF(E5="Partial",G5*0.5,0))</f>
        <v/>
      </c>
      <c r="I5" s="8" t="inlineStr">
        <is>
          <t>Platform/SRE</t>
        </is>
      </c>
      <c r="J5" s="8" t="inlineStr"/>
    </row>
    <row r="6">
      <c r="A6" s="8" t="inlineStr">
        <is>
          <t>BD-02</t>
        </is>
      </c>
      <c r="B6" s="8" t="inlineStr">
        <is>
          <t>hermes-vps recurring backup</t>
        </is>
      </c>
      <c r="C6" s="8" t="inlineStr">
        <is>
          <t>Confirmed 2026-10-04 via the Vultr console: Auto Backups is Enabled on hermes-vps — a full-disk snapshot at the infrastructure level, broader than the earlier one-off app backup. Covers config.yaml/MEMORY.md/MCP venvs automatically.</t>
        </is>
      </c>
      <c r="D6" s="8" t="inlineStr">
        <is>
          <t>Hermes-VPS</t>
        </is>
      </c>
      <c r="E6" s="8" t="inlineStr">
        <is>
          <t>Done</t>
        </is>
      </c>
      <c r="F6" s="8" t="inlineStr">
        <is>
          <t>hermes-vps-vultr-auto-backups-enabled-2026-10-04</t>
        </is>
      </c>
      <c r="G6" s="8" t="n">
        <v>10</v>
      </c>
      <c r="H6" s="8">
        <f>IF(E6="Done",G6,IF(E6="Partial",G6*0.5,0))</f>
        <v/>
      </c>
      <c r="I6" s="8" t="inlineStr">
        <is>
          <t>Platform/SRE</t>
        </is>
      </c>
      <c r="J6" s="8" t="inlineStr">
        <is>
          <t>Worth confirming restore has actually been tested (BD-05) despite backup existing</t>
        </is>
      </c>
    </row>
    <row r="7">
      <c r="A7" s="8" t="inlineStr">
        <is>
          <t>BD-03</t>
        </is>
      </c>
      <c r="B7" s="8" t="inlineStr">
        <is>
          <t>WordPress volume backup strategy</t>
        </is>
      </c>
      <c r="C7" s="8" t="inlineStr">
        <is>
          <t>Undefined since 2026-07-25, still true.</t>
        </is>
      </c>
      <c r="D7" s="8" t="inlineStr">
        <is>
          <t>Home-Network</t>
        </is>
      </c>
      <c r="E7" s="8" t="inlineStr">
        <is>
          <t>Not Started</t>
        </is>
      </c>
      <c r="F7" s="8" t="inlineStr">
        <is>
          <t>server wordpress_data/db_data</t>
        </is>
      </c>
      <c r="G7" s="8" t="n">
        <v>5</v>
      </c>
      <c r="H7" s="8">
        <f>IF(E7="Done",G7,IF(E7="Partial",G7*0.5,0))</f>
        <v/>
      </c>
      <c r="I7" s="8" t="inlineStr">
        <is>
          <t>Platform/SRE</t>
        </is>
      </c>
      <c r="J7" s="8" t="inlineStr"/>
    </row>
    <row r="8">
      <c r="A8" s="8" t="inlineStr">
        <is>
          <t>BD-04</t>
        </is>
      </c>
      <c r="B8" s="8" t="inlineStr">
        <is>
          <t>Documented full-rebuild runbook</t>
        </is>
      </c>
      <c r="C8" s="8" t="inlineStr">
        <is>
          <t>Step-by-step recreate-from-nothing procedure for hermes-vps.</t>
        </is>
      </c>
      <c r="D8" s="8" t="inlineStr">
        <is>
          <t>N/A (process/doc)</t>
        </is>
      </c>
      <c r="E8" s="8" t="inlineStr">
        <is>
          <t>Not Started</t>
        </is>
      </c>
      <c r="F8" s="8" t="inlineStr"/>
      <c r="G8" s="8" t="n">
        <v>8</v>
      </c>
      <c r="H8" s="8">
        <f>IF(E8="Done",G8,IF(E8="Partial",G8*0.5,0))</f>
        <v/>
      </c>
      <c r="I8" s="8" t="inlineStr">
        <is>
          <t>Hermes Design Specialist</t>
        </is>
      </c>
      <c r="J8" s="8" t="inlineStr">
        <is>
          <t>Found 2026-10-05: System dashboard page has built-in backup/restore and support-dump generation, plus hermes doctor -- candidates to use/document here instead of writing a runbook from scratch. See D6_Web_Dashboard.</t>
        </is>
      </c>
    </row>
    <row r="9">
      <c r="A9" s="8" t="inlineStr">
        <is>
          <t>BD-05</t>
        </is>
      </c>
      <c r="B9" s="8" t="inlineStr">
        <is>
          <t>Backup restore actually tested</t>
        </is>
      </c>
      <c r="C9" s="8" t="inlineStr">
        <is>
          <t>A backup that's never been restored is a hypothesis, not a backup.</t>
        </is>
      </c>
      <c r="D9" s="8" t="inlineStr">
        <is>
          <t>N/A (process/doc)</t>
        </is>
      </c>
      <c r="E9" s="8" t="inlineStr">
        <is>
          <t>Not Started</t>
        </is>
      </c>
      <c r="F9" s="8" t="inlineStr"/>
      <c r="G9" s="8" t="n">
        <v>8</v>
      </c>
      <c r="H9" s="8">
        <f>IF(E9="Done",G9,IF(E9="Partial",G9*0.5,0))</f>
        <v/>
      </c>
      <c r="I9" s="8" t="inlineStr">
        <is>
          <t>Platform/SRE</t>
        </is>
      </c>
      <c r="J9" s="8" t="inlineStr">
        <is>
          <t>Found 2026-10-05: System dashboard page's built-in restore function is the natural thing to actually test for this row. See D6_Web_Dashboard.</t>
        </is>
      </c>
    </row>
    <row r="10">
      <c r="A10" s="8" t="inlineStr">
        <is>
          <t>BD-06</t>
        </is>
      </c>
      <c r="B10" s="8" t="inlineStr">
        <is>
          <t>Vault/secrets table backup</t>
        </is>
      </c>
      <c r="C10" s="8" t="inlineStr">
        <is>
          <t>Separate from the general catalog export — this is the crown jewel and deserves its own explicit backup story.</t>
        </is>
      </c>
      <c r="D10" s="8" t="inlineStr">
        <is>
          <t>Hermes-VPS</t>
        </is>
      </c>
      <c r="E10" s="8" t="inlineStr">
        <is>
          <t>Not Started</t>
        </is>
      </c>
      <c r="F10" s="8" t="inlineStr"/>
      <c r="G10" s="8" t="n">
        <v>8</v>
      </c>
      <c r="H10" s="8">
        <f>IF(E10="Done",G10,IF(E10="Partial",G10*0.5,0))</f>
        <v/>
      </c>
      <c r="I10" s="8" t="inlineStr">
        <is>
          <t>Secrets Custodian</t>
        </is>
      </c>
      <c r="J10" s="8" t="inlineStr"/>
    </row>
    <row r="11">
      <c r="A11" s="8" t="n"/>
      <c r="B11" s="8" t="n"/>
      <c r="C11" s="8" t="n"/>
      <c r="D11" s="8" t="n"/>
      <c r="E11" s="8" t="n"/>
      <c r="F11" s="8" t="n"/>
      <c r="G11" s="8" t="n"/>
      <c r="H11" s="8">
        <f>IF(E11="Done",G11,IF(E11="Partial",G11*0.5,0))</f>
        <v/>
      </c>
      <c r="I11" s="8" t="n"/>
      <c r="J11" s="8" t="n"/>
    </row>
    <row r="12">
      <c r="A12" s="8" t="n"/>
      <c r="B12" s="8" t="n"/>
      <c r="C12" s="8" t="n"/>
      <c r="D12" s="8" t="n"/>
      <c r="E12" s="8" t="n"/>
      <c r="F12" s="8" t="n"/>
      <c r="G12" s="8" t="n"/>
      <c r="H12" s="8">
        <f>IF(E12="Done",G12,IF(E12="Partial",G12*0.5,0))</f>
        <v/>
      </c>
      <c r="I12" s="8" t="n"/>
      <c r="J12" s="8" t="n"/>
    </row>
    <row r="13">
      <c r="A13" s="8" t="n"/>
      <c r="B13" s="8" t="n"/>
      <c r="C13" s="8" t="n"/>
      <c r="D13" s="8" t="n"/>
      <c r="E13" s="8" t="n"/>
      <c r="F13" s="8" t="n"/>
      <c r="G13" s="8" t="n"/>
      <c r="H13" s="8">
        <f>IF(E13="Done",G13,IF(E13="Partial",G13*0.5,0))</f>
        <v/>
      </c>
      <c r="I13" s="8" t="n"/>
      <c r="J13" s="8" t="n"/>
    </row>
    <row r="14">
      <c r="A14" s="8" t="n"/>
      <c r="B14" s="8" t="n"/>
      <c r="C14" s="8" t="n"/>
      <c r="D14" s="8" t="n"/>
      <c r="E14" s="8" t="n"/>
      <c r="F14" s="8" t="n"/>
      <c r="G14" s="8" t="n"/>
      <c r="H14" s="8">
        <f>IF(E14="Done",G14,IF(E14="Partial",G14*0.5,0))</f>
        <v/>
      </c>
      <c r="I14" s="8" t="n"/>
      <c r="J14" s="8" t="n"/>
    </row>
    <row r="15">
      <c r="A15" s="8" t="n"/>
      <c r="B15" s="8" t="n"/>
      <c r="C15" s="8" t="n"/>
      <c r="D15" s="8" t="n"/>
      <c r="E15" s="8" t="n"/>
      <c r="F15" s="8" t="n"/>
      <c r="G15" s="8" t="n"/>
      <c r="H15" s="8">
        <f>IF(E15="Done",G15,IF(E15="Partial",G15*0.5,0))</f>
        <v/>
      </c>
      <c r="I15" s="8" t="n"/>
      <c r="J15" s="8" t="n"/>
    </row>
    <row r="16">
      <c r="A16" s="8" t="n"/>
      <c r="B16" s="8" t="n"/>
      <c r="C16" s="8" t="n"/>
      <c r="D16" s="8" t="n"/>
      <c r="E16" s="8" t="n"/>
      <c r="F16" s="8" t="n"/>
      <c r="G16" s="8" t="n"/>
      <c r="H16" s="8">
        <f>IF(E16="Done",G16,IF(E16="Partial",G16*0.5,0))</f>
        <v/>
      </c>
      <c r="I16" s="8" t="n"/>
      <c r="J16" s="8" t="n"/>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2">
      <c r="B42" s="20" t="inlineStr">
        <is>
          <t>TAB TOTAL (includes blank headroom rows above for future additions)</t>
        </is>
      </c>
      <c r="G42" s="20">
        <f>SUM(G5:G40)</f>
        <v/>
      </c>
      <c r="H42" s="20">
        <f>SUM(H5:H40)</f>
        <v/>
      </c>
      <c r="I42" s="20">
        <f>IFERROR(TEXT(H42/G42,"0%")&amp;" complete","0% complete")</f>
        <v/>
      </c>
    </row>
  </sheetData>
  <mergeCells count="2">
    <mergeCell ref="A1:J1"/>
    <mergeCell ref="A2:J2"/>
  </mergeCells>
  <conditionalFormatting sqref="E5:E40">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0E7C7B"/>
    <outlinePr summaryBelow="1" summaryRight="1"/>
    <pageSetUpPr/>
  </sheetPr>
  <dimension ref="A1:J4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Cost &amp; Subscriptions</t>
        </is>
      </c>
    </row>
    <row r="2" ht="16" customHeight="1">
      <c r="A2" s="2" t="inlineStr">
        <is>
          <t>The whole point: one paid tier instead of two.</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CS-01</t>
        </is>
      </c>
      <c r="B5" s="8" t="inlineStr">
        <is>
          <t>ChatGPT Plus linked, Codex working</t>
        </is>
      </c>
      <c r="C5" s="8" t="inlineStr">
        <is>
          <t>$20/mo, already doing real work.</t>
        </is>
      </c>
      <c r="D5" s="8" t="inlineStr">
        <is>
          <t>Hermes-VPS</t>
        </is>
      </c>
      <c r="E5" s="8" t="inlineStr">
        <is>
          <t>Done</t>
        </is>
      </c>
      <c r="F5" s="8" t="inlineStr"/>
      <c r="G5" s="8" t="n">
        <v>3</v>
      </c>
      <c r="H5" s="8">
        <f>IF(E5="Done",G5,IF(E5="Partial",G5*0.5,0))</f>
        <v/>
      </c>
      <c r="I5" s="8" t="inlineStr">
        <is>
          <t>Product Owner (Mark)</t>
        </is>
      </c>
      <c r="J5" s="8" t="inlineStr"/>
    </row>
    <row r="6">
      <c r="A6" s="8" t="inlineStr">
        <is>
          <t>CS-02</t>
        </is>
      </c>
      <c r="B6" s="8" t="inlineStr">
        <is>
          <t>Vultr VPS + backups cost tracked</t>
        </is>
      </c>
      <c r="C6" s="8" t="inlineStr">
        <is>
          <t>vhp-2c-4gb-amd @ $24/mo + daily-snapshot backups at $4.80/mo (Vultr's standard 20%-of-instance add-on, not $4.80/day) = $28.80/mo total.</t>
        </is>
      </c>
      <c r="D6" s="8" t="inlineStr">
        <is>
          <t>Hermes-VPS</t>
        </is>
      </c>
      <c r="E6" s="8" t="inlineStr">
        <is>
          <t>Done</t>
        </is>
      </c>
      <c r="F6" s="8" t="inlineStr">
        <is>
          <t>hermes-vps-provider-selected-vultr-2026-09-24</t>
        </is>
      </c>
      <c r="G6" s="8" t="n">
        <v>2</v>
      </c>
      <c r="H6" s="8">
        <f>IF(E6="Done",G6,IF(E6="Partial",G6*0.5,0))</f>
        <v/>
      </c>
      <c r="I6" s="8" t="inlineStr">
        <is>
          <t>Product Owner (Mark)</t>
        </is>
      </c>
      <c r="J6" s="8" t="inlineStr"/>
    </row>
    <row r="7">
      <c r="A7" s="8" t="inlineStr">
        <is>
          <t>CS-03</t>
        </is>
      </c>
      <c r="B7" s="8" t="inlineStr">
        <is>
          <t>Claude Pro canceled</t>
        </is>
      </c>
      <c r="C7" s="8" t="inlineStr">
        <is>
          <t>Intentionally last — this is the actual finish line of the whole project (G9).</t>
        </is>
      </c>
      <c r="D7" s="8" t="inlineStr">
        <is>
          <t>N/A (process/doc)</t>
        </is>
      </c>
      <c r="E7" s="8" t="inlineStr">
        <is>
          <t>Not Started</t>
        </is>
      </c>
      <c r="F7" s="8" t="inlineStr"/>
      <c r="G7" s="8" t="n">
        <v>10</v>
      </c>
      <c r="H7" s="8">
        <f>IF(E7="Done",G7,IF(E7="Partial",G7*0.5,0))</f>
        <v/>
      </c>
      <c r="I7" s="8" t="inlineStr">
        <is>
          <t>Product Owner (Mark)</t>
        </is>
      </c>
      <c r="J7" s="8" t="inlineStr">
        <is>
          <t>Only cancel once the rest of this workbook is actually green</t>
        </is>
      </c>
    </row>
    <row r="8">
      <c r="A8" s="8" t="inlineStr">
        <is>
          <t>CS-04</t>
        </is>
      </c>
      <c r="B8" s="8" t="inlineStr">
        <is>
          <t>Modal cost visibility</t>
        </is>
      </c>
      <c r="C8" s="8" t="inlineStr">
        <is>
          <t>Pay-per-second, $0 idle — confirm no surprise charges are actually possible, not just assumed.</t>
        </is>
      </c>
      <c r="D8" s="8" t="inlineStr">
        <is>
          <t>Hermes-VPS</t>
        </is>
      </c>
      <c r="E8" s="8" t="inlineStr">
        <is>
          <t>Not Started</t>
        </is>
      </c>
      <c r="F8" s="8" t="inlineStr"/>
      <c r="G8" s="8" t="n">
        <v>3</v>
      </c>
      <c r="H8" s="8">
        <f>IF(E8="Done",G8,IF(E8="Partial",G8*0.5,0))</f>
        <v/>
      </c>
      <c r="I8" s="8" t="inlineStr">
        <is>
          <t>Product Owner (Mark)</t>
        </is>
      </c>
      <c r="J8" s="8" t="inlineStr"/>
    </row>
    <row r="9">
      <c r="A9" s="8" t="inlineStr">
        <is>
          <t>CS-05</t>
        </is>
      </c>
      <c r="B9" s="8" t="inlineStr">
        <is>
          <t>Total monthly Hermes cost rollup</t>
        </is>
      </c>
      <c r="C9" s="8" t="inlineStr">
        <is>
          <t>One number to compare against the 'two subscriptions' baseline being replaced.</t>
        </is>
      </c>
      <c r="D9" s="8" t="inlineStr">
        <is>
          <t>N/A (process/doc)</t>
        </is>
      </c>
      <c r="E9" s="8" t="inlineStr">
        <is>
          <t>Not Started</t>
        </is>
      </c>
      <c r="F9" s="8" t="inlineStr"/>
      <c r="G9" s="8" t="n">
        <v>3</v>
      </c>
      <c r="H9" s="8">
        <f>IF(E9="Done",G9,IF(E9="Partial",G9*0.5,0))</f>
        <v/>
      </c>
      <c r="I9" s="8" t="inlineStr">
        <is>
          <t>Product Owner (Mark)</t>
        </is>
      </c>
      <c r="J9" s="8" t="inlineStr">
        <is>
          <t>Found 2026-10-05: dashboard has a built-in Analytics page (token counts, cache hit rates, estimated costs, per-model breakdown, 7/30/90-day windows) -- check this before building any custom cost rollup. See D6_Web_Dashboard.</t>
        </is>
      </c>
    </row>
    <row r="10">
      <c r="A10" s="8" t="inlineStr">
        <is>
          <t>CS-06</t>
        </is>
      </c>
      <c r="B10" s="8" t="inlineStr">
        <is>
          <t>Brave Search free-tier usage monitored</t>
        </is>
      </c>
      <c r="C10" s="8" t="inlineStr">
        <is>
          <t>2,000 queries/mo free tier — nothing watches for approaching that ceiling.</t>
        </is>
      </c>
      <c r="D10" s="8" t="inlineStr">
        <is>
          <t>Hermes-VPS</t>
        </is>
      </c>
      <c r="E10" s="8" t="inlineStr">
        <is>
          <t>Not Started</t>
        </is>
      </c>
      <c r="F10" s="8" t="inlineStr"/>
      <c r="G10" s="8" t="n">
        <v>2</v>
      </c>
      <c r="H10" s="8">
        <f>IF(E10="Done",G10,IF(E10="Partial",G10*0.5,0))</f>
        <v/>
      </c>
      <c r="I10" s="8" t="inlineStr">
        <is>
          <t>Observability</t>
        </is>
      </c>
      <c r="J10" s="8" t="inlineStr"/>
    </row>
    <row r="11">
      <c r="A11" s="8" t="n"/>
      <c r="B11" s="8" t="n"/>
      <c r="C11" s="8" t="n"/>
      <c r="D11" s="8" t="n"/>
      <c r="E11" s="8" t="n"/>
      <c r="F11" s="8" t="n"/>
      <c r="G11" s="8" t="n"/>
      <c r="H11" s="8">
        <f>IF(E11="Done",G11,IF(E11="Partial",G11*0.5,0))</f>
        <v/>
      </c>
      <c r="I11" s="8" t="n"/>
      <c r="J11" s="8" t="n"/>
    </row>
    <row r="12">
      <c r="A12" s="8" t="n"/>
      <c r="B12" s="8" t="n"/>
      <c r="C12" s="8" t="n"/>
      <c r="D12" s="8" t="n"/>
      <c r="E12" s="8" t="n"/>
      <c r="F12" s="8" t="n"/>
      <c r="G12" s="8" t="n"/>
      <c r="H12" s="8">
        <f>IF(E12="Done",G12,IF(E12="Partial",G12*0.5,0))</f>
        <v/>
      </c>
      <c r="I12" s="8" t="n"/>
      <c r="J12" s="8" t="n"/>
    </row>
    <row r="13">
      <c r="A13" s="8" t="n"/>
      <c r="B13" s="8" t="n"/>
      <c r="C13" s="8" t="n"/>
      <c r="D13" s="8" t="n"/>
      <c r="E13" s="8" t="n"/>
      <c r="F13" s="8" t="n"/>
      <c r="G13" s="8" t="n"/>
      <c r="H13" s="8">
        <f>IF(E13="Done",G13,IF(E13="Partial",G13*0.5,0))</f>
        <v/>
      </c>
      <c r="I13" s="8" t="n"/>
      <c r="J13" s="8" t="n"/>
    </row>
    <row r="14">
      <c r="A14" s="8" t="n"/>
      <c r="B14" s="8" t="n"/>
      <c r="C14" s="8" t="n"/>
      <c r="D14" s="8" t="n"/>
      <c r="E14" s="8" t="n"/>
      <c r="F14" s="8" t="n"/>
      <c r="G14" s="8" t="n"/>
      <c r="H14" s="8">
        <f>IF(E14="Done",G14,IF(E14="Partial",G14*0.5,0))</f>
        <v/>
      </c>
      <c r="I14" s="8" t="n"/>
      <c r="J14" s="8" t="n"/>
    </row>
    <row r="15">
      <c r="A15" s="8" t="n"/>
      <c r="B15" s="8" t="n"/>
      <c r="C15" s="8" t="n"/>
      <c r="D15" s="8" t="n"/>
      <c r="E15" s="8" t="n"/>
      <c r="F15" s="8" t="n"/>
      <c r="G15" s="8" t="n"/>
      <c r="H15" s="8">
        <f>IF(E15="Done",G15,IF(E15="Partial",G15*0.5,0))</f>
        <v/>
      </c>
      <c r="I15" s="8" t="n"/>
      <c r="J15" s="8" t="n"/>
    </row>
    <row r="16">
      <c r="A16" s="8" t="n"/>
      <c r="B16" s="8" t="n"/>
      <c r="C16" s="8" t="n"/>
      <c r="D16" s="8" t="n"/>
      <c r="E16" s="8" t="n"/>
      <c r="F16" s="8" t="n"/>
      <c r="G16" s="8" t="n"/>
      <c r="H16" s="8">
        <f>IF(E16="Done",G16,IF(E16="Partial",G16*0.5,0))</f>
        <v/>
      </c>
      <c r="I16" s="8" t="n"/>
      <c r="J16" s="8" t="n"/>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2">
      <c r="B42" s="20" t="inlineStr">
        <is>
          <t>TAB TOTAL (includes blank headroom rows above for future additions)</t>
        </is>
      </c>
      <c r="G42" s="20">
        <f>SUM(G5:G40)</f>
        <v/>
      </c>
      <c r="H42" s="20">
        <f>SUM(H5:H40)</f>
        <v/>
      </c>
      <c r="I42" s="20">
        <f>IFERROR(TEXT(H42/G42,"0%")&amp;" complete","0% complete")</f>
        <v/>
      </c>
    </row>
  </sheetData>
  <mergeCells count="2">
    <mergeCell ref="A1:J1"/>
    <mergeCell ref="A2:J2"/>
  </mergeCells>
  <conditionalFormatting sqref="E5:E40">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0E7C7B"/>
    <outlinePr summaryBelow="1" summaryRight="1"/>
    <pageSetUpPr/>
  </sheetPr>
  <dimension ref="A1:J4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Security &amp; Hardening</t>
        </is>
      </c>
    </row>
    <row r="2" ht="16" customHeight="1">
      <c r="A2" s="2" t="inlineStr">
        <is>
          <t>Everything here is a closeable gap, not a design debate.</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SH-01</t>
        </is>
      </c>
      <c r="B5" s="8" t="inlineStr">
        <is>
          <t>VPS firewall active</t>
        </is>
      </c>
      <c r="C5" s="8" t="inlineStr">
        <is>
          <t>Duplicate reference to CR-04 — owned here for remediation tracking.</t>
        </is>
      </c>
      <c r="D5" s="8" t="inlineStr">
        <is>
          <t>Hermes-VPS</t>
        </is>
      </c>
      <c r="E5" s="8" t="inlineStr">
        <is>
          <t>Done</t>
        </is>
      </c>
      <c r="F5" s="8" t="inlineStr"/>
      <c r="G5" s="8" t="n">
        <v>3</v>
      </c>
      <c r="H5" s="8">
        <f>IF(E5="Done",G5,IF(E5="Partial",G5*0.5,0))</f>
        <v/>
      </c>
      <c r="I5" s="8" t="inlineStr">
        <is>
          <t>Security Reviewer</t>
        </is>
      </c>
      <c r="J5" s="8" t="inlineStr"/>
    </row>
    <row r="6">
      <c r="A6" s="8" t="inlineStr">
        <is>
          <t>SH-02</t>
        </is>
      </c>
      <c r="B6" s="8" t="inlineStr">
        <is>
          <t>Gateway arbitrary-shell exposure closed</t>
        </is>
      </c>
      <c r="C6" s="8" t="inlineStr">
        <is>
          <t>Same underlying item as 06_Home_Network_Boundary HN-05 — cross-referenced here as Security's responsibility to actually close; scored at HN-05, not twice.</t>
        </is>
      </c>
      <c r="D6" s="8" t="inlineStr">
        <is>
          <t>Hermes-VPS</t>
        </is>
      </c>
      <c r="E6" s="8" t="inlineStr">
        <is>
          <t>Not Started</t>
        </is>
      </c>
      <c r="F6" s="8" t="inlineStr"/>
      <c r="G6" s="8" t="n">
        <v>0</v>
      </c>
      <c r="H6" s="8">
        <f>IF(E6="Done",G6,IF(E6="Partial",G6*0.5,0))</f>
        <v/>
      </c>
      <c r="I6" s="8" t="inlineStr">
        <is>
          <t>Security Reviewer</t>
        </is>
      </c>
      <c r="J6" s="8" t="inlineStr">
        <is>
          <t>Cross-reference of HN-05, not separately weighted</t>
        </is>
      </c>
    </row>
    <row r="7">
      <c r="A7" s="8" t="inlineStr">
        <is>
          <t>SH-03</t>
        </is>
      </c>
      <c r="B7" s="8" t="inlineStr">
        <is>
          <t>/Dockers plaintext secrets exposure remediated</t>
        </is>
      </c>
      <c r="C7" s="8" t="inlineStr">
        <is>
          <t>Same underlying item as 05_Secrets_Vault SV-08; cross-referenced here, scored there.</t>
        </is>
      </c>
      <c r="D7" s="8" t="inlineStr">
        <is>
          <t>Home-Network</t>
        </is>
      </c>
      <c r="E7" s="8" t="inlineStr">
        <is>
          <t>Not Started</t>
        </is>
      </c>
      <c r="F7" s="8" t="inlineStr"/>
      <c r="G7" s="8" t="n">
        <v>0</v>
      </c>
      <c r="H7" s="8">
        <f>IF(E7="Done",G7,IF(E7="Partial",G7*0.5,0))</f>
        <v/>
      </c>
      <c r="I7" s="8" t="inlineStr">
        <is>
          <t>Security Reviewer</t>
        </is>
      </c>
      <c r="J7" s="8" t="inlineStr">
        <is>
          <t>Cross-reference of SV-08, not separately weighted</t>
        </is>
      </c>
    </row>
    <row r="8">
      <c r="A8" s="8" t="inlineStr">
        <is>
          <t>SH-04</t>
        </is>
      </c>
      <c r="B8" s="8" t="inlineStr">
        <is>
          <t>Least-privilege review, all MCP credentials</t>
        </is>
      </c>
      <c r="C8" s="8" t="inlineStr">
        <is>
          <t>Same item as TM-11.</t>
        </is>
      </c>
      <c r="D8" s="8" t="inlineStr">
        <is>
          <t>Either / Bridge</t>
        </is>
      </c>
      <c r="E8" s="8" t="inlineStr">
        <is>
          <t>Done</t>
        </is>
      </c>
      <c r="F8" s="8" t="inlineStr">
        <is>
          <t>hermes-vps config.yaml mcp_servers.infra.env (SALT_USER/SALT_PASS now ${VAR} interpolated from .env, verified real values land in the MCP subprocess env, not plaintext in config.yaml)</t>
        </is>
      </c>
      <c r="G8" s="8" t="n">
        <v>5</v>
      </c>
      <c r="H8" s="8">
        <f>IF(E8="Done",G8,IF(E8="Partial",G8*0.5,0))</f>
        <v/>
      </c>
      <c r="I8" s="8" t="inlineStr">
        <is>
          <t>Security Reviewer</t>
        </is>
      </c>
      <c r="J8" s="8" t="inlineStr">
        <is>
          <t>FIXED 2026-10-05: found SALT_PASS/SALT_USER hardcoded in plaintext in config.yaml for the infra MCP server (Salt eauth creds). Confirmed hermes-agent supports ${VAR} interpolation for mcp_servers.*.env (per mcp_startup.py). Moved both to .env (chmod 600), switched config.yaml to ${SALT_USER}/${SALT_PASS}, restarted gateway, verified via /proc/&lt;pid&gt;/environ that the real values still reach the subprocess. Other MCP servers (catalog, search, vault) already used this pattern or had no inline secret.</t>
        </is>
      </c>
    </row>
    <row r="9">
      <c r="A9" s="8" t="inlineStr">
        <is>
          <t>SH-05</t>
        </is>
      </c>
      <c r="B9" s="8" t="inlineStr">
        <is>
          <t>Tunnel ACL minimum-exposure audit</t>
        </is>
      </c>
      <c r="C9" s="8" t="inlineStr">
        <is>
          <t>Same item as HN-07.</t>
        </is>
      </c>
      <c r="D9" s="8" t="inlineStr">
        <is>
          <t>Home-Network</t>
        </is>
      </c>
      <c r="E9" s="8" t="inlineStr">
        <is>
          <t>Not Started</t>
        </is>
      </c>
      <c r="F9" s="8" t="inlineStr"/>
      <c r="G9" s="8" t="n">
        <v>5</v>
      </c>
      <c r="H9" s="8">
        <f>IF(E9="Done",G9,IF(E9="Partial",G9*0.5,0))</f>
        <v/>
      </c>
      <c r="I9" s="8" t="inlineStr">
        <is>
          <t>Security Reviewer</t>
        </is>
      </c>
      <c r="J9" s="8" t="inlineStr"/>
    </row>
    <row r="10">
      <c r="A10" s="8" t="inlineStr">
        <is>
          <t>SH-06</t>
        </is>
      </c>
      <c r="B10" s="8" t="inlineStr">
        <is>
          <t>Web UI auth mechanism security review</t>
        </is>
      </c>
      <c r="C10" s="8" t="inlineStr">
        <is>
          <t>Basic Auth vs. app-login — security implications of each never compared.</t>
        </is>
      </c>
      <c r="D10" s="8" t="inlineStr">
        <is>
          <t>Hermes-VPS</t>
        </is>
      </c>
      <c r="E10" s="8" t="inlineStr">
        <is>
          <t>Done</t>
        </is>
      </c>
      <c r="F10" s="8" t="inlineStr">
        <is>
          <t>config.yaml dashboard.basic_auth: scrypt password_hash set, username=hermes; fronted by Caddy Basic Auth; live 401 check 2026-10-05</t>
        </is>
      </c>
      <c r="G10" s="8" t="n">
        <v>5</v>
      </c>
      <c r="H10" s="8">
        <f>IF(E10="Done",G10,IF(E10="Partial",G10*0.5,0))</f>
        <v/>
      </c>
      <c r="I10" s="8" t="inlineStr">
        <is>
          <t>Security Reviewer</t>
        </is>
      </c>
      <c r="J10" s="8" t="inlineStr">
        <is>
          <t>RESOLVED 2026-10-05: confirmed the dashboard auth provider is app-level password/basic_auth (scrypt-hashed, not plaintext, not OAuth/OIDC), double-gated behind Caddy's own Basic Auth. Matches the catalog's hermes-vps-dashboard-basic-auth / hermes-vps-caddy-basic-auth secret entries. No weaker-than-expected auth found.</t>
        </is>
      </c>
    </row>
    <row r="11">
      <c r="A11" s="8" t="inlineStr">
        <is>
          <t>SH-07</t>
        </is>
      </c>
      <c r="B11" s="8" t="inlineStr">
        <is>
          <t>Dependency/CVE awareness process</t>
        </is>
      </c>
      <c r="C11" s="8" t="inlineStr">
        <is>
          <t>hermes-agent, FastMCP, and MCP server deps have no update-for-CVE process.</t>
        </is>
      </c>
      <c r="D11" s="8" t="inlineStr">
        <is>
          <t>Either / Bridge</t>
        </is>
      </c>
      <c r="E11" s="8" t="inlineStr">
        <is>
          <t>Partial</t>
        </is>
      </c>
      <c r="F11" s="8" t="inlineStr">
        <is>
          <t>hermes security audit run 2026-10-05: 68 findings across 106 components (venv deps: PyJWT, httpx2, urllib3, oauthlib, plus hermes-agent itself showing as 0.0.0 to the OSV scanner - likely a git-install version-metadata quirk given the real running version is v0.21.5+4477, not an untouched ancient install)</t>
        </is>
      </c>
      <c r="G11" s="8" t="n">
        <v>5</v>
      </c>
      <c r="H11" s="8">
        <f>IF(E11="Done",G11,IF(E11="Partial",G11*0.5,0))</f>
        <v/>
      </c>
      <c r="I11" s="8" t="inlineStr">
        <is>
          <t>Security Reviewer</t>
        </is>
      </c>
      <c r="J11" s="8" t="inlineStr">
        <is>
          <t>PROCESS now exists and was run (closes the 'no process' gap) but real findings surfaced, not yet remediated: PyJWT 2.13.0 has several HIGH/CRITICAL CVEs fixed in 2.14.0; httpx2/urllib3/oauthlib also behind. Separately, dashboard already flags hermes-agent itself as 2547 commits behind (CR-11, Not Started, owns the 'when to hermes update' decision) - that update would likely also resolve the hermes-agent==0.0.0 scanner artifact. Recommend: bump the 4 flagged deps in the venv directly as a quick win, treat the full hermes update as CR-11's call, not bundled in here.</t>
        </is>
      </c>
    </row>
    <row r="12">
      <c r="A12" s="8" t="inlineStr">
        <is>
          <t>SH-08</t>
        </is>
      </c>
      <c r="B12" s="8" t="inlineStr">
        <is>
          <t>Credential-leak incident response notes</t>
        </is>
      </c>
      <c r="C12" s="8" t="inlineStr">
        <is>
          <t>Given the /Dockers exposure already exists, what's the actual response if one of those leaks gets used?</t>
        </is>
      </c>
      <c r="D12" s="8" t="inlineStr">
        <is>
          <t>N/A (process/doc)</t>
        </is>
      </c>
      <c r="E12" s="8" t="inlineStr">
        <is>
          <t>Not Started</t>
        </is>
      </c>
      <c r="F12" s="8" t="inlineStr"/>
      <c r="G12" s="8" t="n">
        <v>5</v>
      </c>
      <c r="H12" s="8">
        <f>IF(E12="Done",G12,IF(E12="Partial",G12*0.5,0))</f>
        <v/>
      </c>
      <c r="I12" s="8" t="inlineStr">
        <is>
          <t>Security Reviewer</t>
        </is>
      </c>
      <c r="J12" s="8" t="inlineStr"/>
    </row>
    <row r="13">
      <c r="A13" s="8" t="n"/>
      <c r="B13" s="8" t="n"/>
      <c r="C13" s="8" t="n"/>
      <c r="D13" s="8" t="n"/>
      <c r="E13" s="8" t="n"/>
      <c r="F13" s="8" t="n"/>
      <c r="G13" s="8" t="n"/>
      <c r="H13" s="8">
        <f>IF(E13="Done",G13,IF(E13="Partial",G13*0.5,0))</f>
        <v/>
      </c>
      <c r="I13" s="8" t="n"/>
      <c r="J13" s="8" t="n"/>
    </row>
    <row r="14">
      <c r="A14" s="8" t="n"/>
      <c r="B14" s="8" t="n"/>
      <c r="C14" s="8" t="n"/>
      <c r="D14" s="8" t="n"/>
      <c r="E14" s="8" t="n"/>
      <c r="F14" s="8" t="n"/>
      <c r="G14" s="8" t="n"/>
      <c r="H14" s="8">
        <f>IF(E14="Done",G14,IF(E14="Partial",G14*0.5,0))</f>
        <v/>
      </c>
      <c r="I14" s="8" t="n"/>
      <c r="J14" s="8" t="n"/>
    </row>
    <row r="15">
      <c r="A15" s="8" t="n"/>
      <c r="B15" s="8" t="n"/>
      <c r="C15" s="8" t="n"/>
      <c r="D15" s="8" t="n"/>
      <c r="E15" s="8" t="n"/>
      <c r="F15" s="8" t="n"/>
      <c r="G15" s="8" t="n"/>
      <c r="H15" s="8">
        <f>IF(E15="Done",G15,IF(E15="Partial",G15*0.5,0))</f>
        <v/>
      </c>
      <c r="I15" s="8" t="n"/>
      <c r="J15" s="8" t="n"/>
    </row>
    <row r="16">
      <c r="A16" s="8" t="n"/>
      <c r="B16" s="8" t="n"/>
      <c r="C16" s="8" t="n"/>
      <c r="D16" s="8" t="n"/>
      <c r="E16" s="8" t="n"/>
      <c r="F16" s="8" t="n"/>
      <c r="G16" s="8" t="n"/>
      <c r="H16" s="8">
        <f>IF(E16="Done",G16,IF(E16="Partial",G16*0.5,0))</f>
        <v/>
      </c>
      <c r="I16" s="8" t="n"/>
      <c r="J16" s="8" t="n"/>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1">
      <c r="A41" s="8" t="n"/>
      <c r="B41" s="8" t="n"/>
      <c r="C41" s="8" t="n"/>
      <c r="D41" s="8" t="n"/>
      <c r="E41" s="8" t="n"/>
      <c r="F41" s="8" t="n"/>
      <c r="G41" s="8" t="n"/>
      <c r="H41" s="8">
        <f>IF(E41="Done",G41,IF(E41="Partial",G41*0.5,0))</f>
        <v/>
      </c>
      <c r="I41" s="8" t="n"/>
      <c r="J41" s="8" t="n"/>
    </row>
    <row r="42">
      <c r="A42" s="8" t="n"/>
      <c r="B42" s="8" t="n"/>
      <c r="C42" s="8" t="n"/>
      <c r="D42" s="8" t="n"/>
      <c r="E42" s="8" t="n"/>
      <c r="F42" s="8" t="n"/>
      <c r="G42" s="8" t="n"/>
      <c r="H42" s="8">
        <f>IF(E42="Done",G42,IF(E42="Partial",G42*0.5,0))</f>
        <v/>
      </c>
      <c r="I42" s="8" t="n"/>
      <c r="J42" s="8" t="n"/>
    </row>
    <row r="44">
      <c r="B44" s="20" t="inlineStr">
        <is>
          <t>TAB TOTAL (includes blank headroom rows above for future additions)</t>
        </is>
      </c>
      <c r="G44" s="20">
        <f>SUM(G5:G42)</f>
        <v/>
      </c>
      <c r="H44" s="20">
        <f>SUM(H5:H42)</f>
        <v/>
      </c>
      <c r="I44" s="20">
        <f>IFERROR(TEXT(H44/G44,"0%")&amp;" complete","0% complete")</f>
        <v/>
      </c>
    </row>
  </sheetData>
  <mergeCells count="2">
    <mergeCell ref="A1:J1"/>
    <mergeCell ref="A2:J2"/>
  </mergeCells>
  <conditionalFormatting sqref="E5:E42">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0E7C7B"/>
    <outlinePr summaryBelow="1" summaryRight="1"/>
    <pageSetUpPr/>
  </sheetPr>
  <dimension ref="A1:J4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Governance &amp; Change Management</t>
        </is>
      </c>
    </row>
    <row r="2" ht="16" customHeight="1">
      <c r="A2" s="2" t="inlineStr">
        <is>
          <t>How this whole system stays coherent as it grows, instead of drifting back into a mixed environment.</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GV-01</t>
        </is>
      </c>
      <c r="B5" s="8" t="inlineStr">
        <is>
          <t>Playbook: promote a home capability to a Hermes tool</t>
        </is>
      </c>
      <c r="C5" s="8" t="inlineStr">
        <is>
          <t>Same item as TM-10 — owned here as the actual governance process, not just a tooling note.</t>
        </is>
      </c>
      <c r="D5" s="8" t="inlineStr">
        <is>
          <t>N/A (process/doc)</t>
        </is>
      </c>
      <c r="E5" s="8" t="inlineStr">
        <is>
          <t>Not Started</t>
        </is>
      </c>
      <c r="F5" s="8" t="inlineStr"/>
      <c r="G5" s="8" t="n">
        <v>5</v>
      </c>
      <c r="H5" s="8">
        <f>IF(E5="Done",G5,IF(E5="Partial",G5*0.5,0))</f>
        <v/>
      </c>
      <c r="I5" s="8" t="inlineStr">
        <is>
          <t>Hermes Design Specialist</t>
        </is>
      </c>
      <c r="J5" s="8" t="inlineStr"/>
    </row>
    <row r="6">
      <c r="A6" s="8" t="inlineStr">
        <is>
          <t>GV-02</t>
        </is>
      </c>
      <c r="B6" s="8" t="inlineStr">
        <is>
          <t>Claude-Code-as-bootstrap sunset plan</t>
        </is>
      </c>
      <c r="C6" s="8" t="inlineStr">
        <is>
          <t>CLAUDE.md already states the setup role should eventually move into Hermes itself — no plan yet for when/how that actually happens.</t>
        </is>
      </c>
      <c r="D6" s="8" t="inlineStr">
        <is>
          <t>N/A (process/doc)</t>
        </is>
      </c>
      <c r="E6" s="8" t="inlineStr">
        <is>
          <t>Not Started</t>
        </is>
      </c>
      <c r="F6" s="8" t="inlineStr"/>
      <c r="G6" s="8" t="n">
        <v>8</v>
      </c>
      <c r="H6" s="8">
        <f>IF(E6="Done",G6,IF(E6="Partial",G6*0.5,0))</f>
        <v/>
      </c>
      <c r="I6" s="8" t="inlineStr">
        <is>
          <t>Hermes Design Specialist</t>
        </is>
      </c>
      <c r="J6" s="8" t="inlineStr">
        <is>
          <t>See 14_Claude_Code_Parity for the concrete per-capability breakdown of what this actually requires Found 2026-10-05: hermes import-agent (imports an existing ~/.claude or ~/.codex setup directly into a Hermes profile) may literally BE this sunset mechanism, not something to design from scratch. See D8_Advanced_Reference.</t>
        </is>
      </c>
    </row>
    <row r="7">
      <c r="A7" s="8" t="inlineStr">
        <is>
          <t>GV-03</t>
        </is>
      </c>
      <c r="B7" s="8" t="inlineStr">
        <is>
          <t>Change log for hermes-vps config.yaml edits</t>
        </is>
      </c>
      <c r="C7" s="8" t="inlineStr">
        <is>
          <t>No approval/record process for who changed what on the live config.</t>
        </is>
      </c>
      <c r="D7" s="8" t="inlineStr">
        <is>
          <t>Hermes-VPS</t>
        </is>
      </c>
      <c r="E7" s="8" t="inlineStr">
        <is>
          <t>Not Started</t>
        </is>
      </c>
      <c r="F7" s="8" t="inlineStr"/>
      <c r="G7" s="8" t="n">
        <v>5</v>
      </c>
      <c r="H7" s="8">
        <f>IF(E7="Done",G7,IF(E7="Partial",G7*0.5,0))</f>
        <v/>
      </c>
      <c r="I7" s="8" t="inlineStr">
        <is>
          <t>Hermes Design Specialist</t>
        </is>
      </c>
      <c r="J7" s="8" t="inlineStr">
        <is>
          <t>Found 2026-10-05: Checkpoints &amp; Rollback feature auto-snapshots before every file write/destructive command into a shadow git repo (~/.hermes/checkpoints/store/), with /rollback &lt;N&gt; undo -- an implicit, automatic change history for config.yaml and everything else Hermes touches. Check before building a separate changelog. See D6_Web_Dashboard.</t>
        </is>
      </c>
    </row>
    <row r="8">
      <c r="A8" s="8" t="inlineStr">
        <is>
          <t>GV-04</t>
        </is>
      </c>
      <c r="B8" s="8" t="inlineStr">
        <is>
          <t>Role definitions actively assigned per feature</t>
        </is>
      </c>
      <c r="C8" s="8" t="inlineStr">
        <is>
          <t>This workbook's own Roles tab needs to actually get used, not just exist.</t>
        </is>
      </c>
      <c r="D8" s="8" t="inlineStr">
        <is>
          <t>N/A (process/doc)</t>
        </is>
      </c>
      <c r="E8" s="8" t="inlineStr">
        <is>
          <t>Not Started</t>
        </is>
      </c>
      <c r="F8" s="8" t="inlineStr"/>
      <c r="G8" s="8" t="n">
        <v>3</v>
      </c>
      <c r="H8" s="8">
        <f>IF(E8="Done",G8,IF(E8="Partial",G8*0.5,0))</f>
        <v/>
      </c>
      <c r="I8" s="8" t="inlineStr">
        <is>
          <t>Hermes Design Specialist</t>
        </is>
      </c>
      <c r="J8" s="8" t="inlineStr"/>
    </row>
    <row r="9">
      <c r="A9" s="8" t="inlineStr">
        <is>
          <t>GV-05</t>
        </is>
      </c>
      <c r="B9" s="8" t="inlineStr">
        <is>
          <t>Hermes Way standards re-checked on every new capability</t>
        </is>
      </c>
      <c r="C9" s="8" t="inlineStr">
        <is>
          <t>The recursive-completeness habit that built this workbook needs to repeat each time something new is added, not happen once.</t>
        </is>
      </c>
      <c r="D9" s="8" t="inlineStr">
        <is>
          <t>N/A (process/doc)</t>
        </is>
      </c>
      <c r="E9" s="8" t="inlineStr">
        <is>
          <t>Not Started</t>
        </is>
      </c>
      <c r="F9" s="8" t="inlineStr"/>
      <c r="G9" s="8" t="n">
        <v>5</v>
      </c>
      <c r="H9" s="8">
        <f>IF(E9="Done",G9,IF(E9="Partial",G9*0.5,0))</f>
        <v/>
      </c>
      <c r="I9" s="8" t="inlineStr">
        <is>
          <t>Hermes Design Specialist</t>
        </is>
      </c>
      <c r="J9" s="8" t="inlineStr"/>
    </row>
    <row r="10">
      <c r="A10" s="8" t="inlineStr">
        <is>
          <t>GV-06</t>
        </is>
      </c>
      <c r="B10" s="8" t="inlineStr">
        <is>
          <t>Catalog &lt;-&gt; workbook cross-linked</t>
        </is>
      </c>
      <c r="C10" s="8" t="inlineStr">
        <is>
          <t>Avoid this spreadsheet and the catalog silently becoming two different sources of truth.</t>
        </is>
      </c>
      <c r="D10" s="8" t="inlineStr">
        <is>
          <t>N/A (process/doc)</t>
        </is>
      </c>
      <c r="E10" s="8" t="inlineStr">
        <is>
          <t>Not Started</t>
        </is>
      </c>
      <c r="F10" s="8" t="inlineStr"/>
      <c r="G10" s="8" t="n">
        <v>5</v>
      </c>
      <c r="H10" s="8">
        <f>IF(E10="Done",G10,IF(E10="Partial",G10*0.5,0))</f>
        <v/>
      </c>
      <c r="I10" s="8" t="inlineStr">
        <is>
          <t>Hermes Design Specialist</t>
        </is>
      </c>
      <c r="J10" s="8" t="inlineStr"/>
    </row>
    <row r="11">
      <c r="A11" s="8" t="n"/>
      <c r="B11" s="8" t="n"/>
      <c r="C11" s="8" t="n"/>
      <c r="D11" s="8" t="n"/>
      <c r="E11" s="8" t="n"/>
      <c r="F11" s="8" t="n"/>
      <c r="G11" s="8" t="n"/>
      <c r="H11" s="8">
        <f>IF(E11="Done",G11,IF(E11="Partial",G11*0.5,0))</f>
        <v/>
      </c>
      <c r="I11" s="8" t="n"/>
      <c r="J11" s="8" t="n"/>
    </row>
    <row r="12">
      <c r="A12" s="8" t="n"/>
      <c r="B12" s="8" t="n"/>
      <c r="C12" s="8" t="n"/>
      <c r="D12" s="8" t="n"/>
      <c r="E12" s="8" t="n"/>
      <c r="F12" s="8" t="n"/>
      <c r="G12" s="8" t="n"/>
      <c r="H12" s="8">
        <f>IF(E12="Done",G12,IF(E12="Partial",G12*0.5,0))</f>
        <v/>
      </c>
      <c r="I12" s="8" t="n"/>
      <c r="J12" s="8" t="n"/>
    </row>
    <row r="13">
      <c r="A13" s="8" t="n"/>
      <c r="B13" s="8" t="n"/>
      <c r="C13" s="8" t="n"/>
      <c r="D13" s="8" t="n"/>
      <c r="E13" s="8" t="n"/>
      <c r="F13" s="8" t="n"/>
      <c r="G13" s="8" t="n"/>
      <c r="H13" s="8">
        <f>IF(E13="Done",G13,IF(E13="Partial",G13*0.5,0))</f>
        <v/>
      </c>
      <c r="I13" s="8" t="n"/>
      <c r="J13" s="8" t="n"/>
    </row>
    <row r="14">
      <c r="A14" s="8" t="n"/>
      <c r="B14" s="8" t="n"/>
      <c r="C14" s="8" t="n"/>
      <c r="D14" s="8" t="n"/>
      <c r="E14" s="8" t="n"/>
      <c r="F14" s="8" t="n"/>
      <c r="G14" s="8" t="n"/>
      <c r="H14" s="8">
        <f>IF(E14="Done",G14,IF(E14="Partial",G14*0.5,0))</f>
        <v/>
      </c>
      <c r="I14" s="8" t="n"/>
      <c r="J14" s="8" t="n"/>
    </row>
    <row r="15">
      <c r="A15" s="8" t="n"/>
      <c r="B15" s="8" t="n"/>
      <c r="C15" s="8" t="n"/>
      <c r="D15" s="8" t="n"/>
      <c r="E15" s="8" t="n"/>
      <c r="F15" s="8" t="n"/>
      <c r="G15" s="8" t="n"/>
      <c r="H15" s="8">
        <f>IF(E15="Done",G15,IF(E15="Partial",G15*0.5,0))</f>
        <v/>
      </c>
      <c r="I15" s="8" t="n"/>
      <c r="J15" s="8" t="n"/>
    </row>
    <row r="16">
      <c r="A16" s="8" t="n"/>
      <c r="B16" s="8" t="n"/>
      <c r="C16" s="8" t="n"/>
      <c r="D16" s="8" t="n"/>
      <c r="E16" s="8" t="n"/>
      <c r="F16" s="8" t="n"/>
      <c r="G16" s="8" t="n"/>
      <c r="H16" s="8">
        <f>IF(E16="Done",G16,IF(E16="Partial",G16*0.5,0))</f>
        <v/>
      </c>
      <c r="I16" s="8" t="n"/>
      <c r="J16" s="8" t="n"/>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2">
      <c r="B42" s="20" t="inlineStr">
        <is>
          <t>TAB TOTAL (includes blank headroom rows above for future additions)</t>
        </is>
      </c>
      <c r="G42" s="20">
        <f>SUM(G5:G40)</f>
        <v/>
      </c>
      <c r="H42" s="20">
        <f>SUM(H5:H40)</f>
        <v/>
      </c>
      <c r="I42" s="20">
        <f>IFERROR(TEXT(H42/G42,"0%")&amp;" complete","0% complete")</f>
        <v/>
      </c>
    </row>
  </sheetData>
  <mergeCells count="2">
    <mergeCell ref="A1:J1"/>
    <mergeCell ref="A2:J2"/>
  </mergeCells>
  <conditionalFormatting sqref="E5:E40">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0E7C7B"/>
    <outlinePr summaryBelow="1" summaryRight="1"/>
    <pageSetUpPr/>
  </sheetPr>
  <dimension ref="A1:J4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Claude Code → Hermes Parity</t>
        </is>
      </c>
    </row>
    <row r="2" ht="16" customHeight="1">
      <c r="A2" s="2" t="inlineStr">
        <is>
          <t>The replacement lens: for everything Claude Code does on this project today, what Hermes-native capability would need to do it instead — so Claude Code can actually be retired, not just described as temporary.</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CCP-01</t>
        </is>
      </c>
      <c r="B5" s="8" t="inlineStr">
        <is>
          <t>Catalog read/write parity</t>
        </is>
      </c>
      <c r="C5" s="8" t="inlineStr">
        <is>
          <t>Claude Code drives catalog_mcp.py by hand each session. The tool itself already runs on hermes-vps (TM-01) — the gap is usage, not capability: Hermes isn't the one calling it as part of its own memory loop yet.</t>
        </is>
      </c>
      <c r="D5" s="8" t="inlineStr">
        <is>
          <t>Hermes-VPS</t>
        </is>
      </c>
      <c r="E5" s="8" t="inlineStr">
        <is>
          <t>Partial</t>
        </is>
      </c>
      <c r="F5" s="8" t="inlineStr">
        <is>
          <t>TM-01</t>
        </is>
      </c>
      <c r="G5" s="8" t="n">
        <v>5</v>
      </c>
      <c r="H5" s="8">
        <f>IF(E5="Done",G5,IF(E5="Partial",G5*0.5,0))</f>
        <v/>
      </c>
      <c r="I5" s="8" t="inlineStr">
        <is>
          <t>Hermes Design Specialist</t>
        </is>
      </c>
      <c r="J5" s="8" t="inlineStr">
        <is>
          <t>Tool parity exists; usage parity doesn't</t>
        </is>
      </c>
    </row>
    <row r="6">
      <c r="A6" s="8" t="inlineStr">
        <is>
          <t>CCP-02</t>
        </is>
      </c>
      <c r="B6" s="8" t="inlineStr">
        <is>
          <t>Vault secret access parity</t>
        </is>
      </c>
      <c r="C6" s="8" t="inlineStr">
        <is>
          <t>Same gap as CCP-01, blocked further by the 4x vault_mcp.py duplication.</t>
        </is>
      </c>
      <c r="D6" s="8" t="inlineStr">
        <is>
          <t>Hermes-VPS</t>
        </is>
      </c>
      <c r="E6" s="8" t="inlineStr">
        <is>
          <t>Not Started</t>
        </is>
      </c>
      <c r="F6" s="8" t="inlineStr">
        <is>
          <t>TM-06 / SV-12</t>
        </is>
      </c>
      <c r="G6" s="8" t="n">
        <v>5</v>
      </c>
      <c r="H6" s="8">
        <f>IF(E6="Done",G6,IF(E6="Partial",G6*0.5,0))</f>
        <v/>
      </c>
      <c r="I6" s="8" t="inlineStr">
        <is>
          <t>Secrets Custodian</t>
        </is>
      </c>
      <c r="J6" s="8" t="inlineStr">
        <is>
          <t>Consolidate first, then shift usage to Hermes</t>
        </is>
      </c>
    </row>
    <row r="7">
      <c r="A7" s="8" t="inlineStr">
        <is>
          <t>CCP-03</t>
        </is>
      </c>
      <c r="B7" s="8" t="inlineStr">
        <is>
          <t>Salt/infra command parity</t>
        </is>
      </c>
      <c r="C7" s="8" t="inlineStr">
        <is>
          <t>infra_mcp.py already registered on hermes-vps (TM-04) — same usage-parity gap as CCP-01.</t>
        </is>
      </c>
      <c r="D7" s="8" t="inlineStr">
        <is>
          <t>Hermes-VPS</t>
        </is>
      </c>
      <c r="E7" s="8" t="inlineStr">
        <is>
          <t>Partial</t>
        </is>
      </c>
      <c r="F7" s="8" t="inlineStr">
        <is>
          <t>TM-04</t>
        </is>
      </c>
      <c r="G7" s="8" t="n">
        <v>5</v>
      </c>
      <c r="H7" s="8">
        <f>IF(E7="Done",G7,IF(E7="Partial",G7*0.5,0))</f>
        <v/>
      </c>
      <c r="I7" s="8" t="inlineStr">
        <is>
          <t>Home-Network Liaison</t>
        </is>
      </c>
      <c r="J7" s="8" t="inlineStr"/>
    </row>
    <row r="8">
      <c r="A8" s="8" t="inlineStr">
        <is>
          <t>CCP-04</t>
        </is>
      </c>
      <c r="B8" s="8" t="inlineStr">
        <is>
          <t>Git repository upkeep (commit/push)</t>
        </is>
      </c>
      <c r="C8" s="8" t="inlineStr">
        <is>
          <t>Claude Code commits/pushes to this repo via direct shell git commands on this laptop. No Hermes-native equivalent exists at all — Hermes would need a git/GitHub-aware tool (wrapping gh/git with its own deploy key) reachable from hermes-vps.</t>
        </is>
      </c>
      <c r="D8" s="8" t="inlineStr">
        <is>
          <t>Either / Bridge</t>
        </is>
      </c>
      <c r="E8" s="8" t="inlineStr">
        <is>
          <t>Not Started</t>
        </is>
      </c>
      <c r="F8" s="8" t="inlineStr"/>
      <c r="G8" s="8" t="n">
        <v>8</v>
      </c>
      <c r="H8" s="8">
        <f>IF(E8="Done",G8,IF(E8="Partial",G8*0.5,0))</f>
        <v/>
      </c>
      <c r="I8" s="8" t="inlineStr">
        <is>
          <t>Hermes Design Specialist</t>
        </is>
      </c>
      <c r="J8" s="8" t="inlineStr">
        <is>
          <t>Real gap, not just a usage shift — nothing lets Hermes itself touch this repo today</t>
        </is>
      </c>
    </row>
    <row r="9">
      <c r="A9" s="8" t="inlineStr">
        <is>
          <t>CCP-05</t>
        </is>
      </c>
      <c r="B9" s="8" t="inlineStr">
        <is>
          <t>Repo file editing / code changes</t>
        </is>
      </c>
      <c r="C9" s="8" t="inlineStr">
        <is>
          <t>Claude Code edits this project's files directly via local tools. Hermes-native equivalent would be one of its sandboxed execution backends (local/Docker/SSH/Modal) pointed at the repo.</t>
        </is>
      </c>
      <c r="D9" s="8" t="inlineStr">
        <is>
          <t>Either / Bridge</t>
        </is>
      </c>
      <c r="E9" s="8" t="inlineStr">
        <is>
          <t>Not Started</t>
        </is>
      </c>
      <c r="F9" s="8" t="inlineStr"/>
      <c r="G9" s="8" t="n">
        <v>8</v>
      </c>
      <c r="H9" s="8">
        <f>IF(E9="Done",G9,IF(E9="Partial",G9*0.5,0))</f>
        <v/>
      </c>
      <c r="I9" s="8" t="inlineStr">
        <is>
          <t>Hermes Design Specialist</t>
        </is>
      </c>
      <c r="J9" s="8" t="inlineStr"/>
    </row>
    <row r="10">
      <c r="A10" s="8" t="inlineStr">
        <is>
          <t>CCP-06</t>
        </is>
      </c>
      <c r="B10" s="8" t="inlineStr">
        <is>
          <t>Document / spreadsheet generation</t>
        </is>
      </c>
      <c r="C10" s="8" t="inlineStr">
        <is>
          <t>This very workbook was built with openpyxl in a local venv. No Hermes-native equivalent — would need a scripting execution backend (Modal job or Dokploy-hosted script) capable of the same generation step.</t>
        </is>
      </c>
      <c r="D10" s="8" t="inlineStr">
        <is>
          <t>Hermes-VPS</t>
        </is>
      </c>
      <c r="E10" s="8" t="inlineStr">
        <is>
          <t>Not Started</t>
        </is>
      </c>
      <c r="F10" s="8" t="inlineStr"/>
      <c r="G10" s="8" t="n">
        <v>5</v>
      </c>
      <c r="H10" s="8">
        <f>IF(E10="Done",G10,IF(E10="Partial",G10*0.5,0))</f>
        <v/>
      </c>
      <c r="I10" s="8" t="inlineStr">
        <is>
          <t>Platform/SRE</t>
        </is>
      </c>
      <c r="J10" s="8" t="inlineStr"/>
    </row>
    <row r="11">
      <c r="A11" s="8" t="inlineStr">
        <is>
          <t>CCP-07</t>
        </is>
      </c>
      <c r="B11" s="8" t="inlineStr">
        <is>
          <t>Shareable web output</t>
        </is>
      </c>
      <c r="C11" s="8" t="inlineStr">
        <is>
          <t>Claude Code used Claude.ai's own Artifact tool for the earlier status page. The direct Hermes-native analogue is already tracked as CR-08 (Hermes-hosted web presence) — this row just names the Claude-Code-specific trigger for closing it.</t>
        </is>
      </c>
      <c r="D11" s="8" t="inlineStr">
        <is>
          <t>Hermes-VPS</t>
        </is>
      </c>
      <c r="E11" s="8" t="inlineStr">
        <is>
          <t>Not Started</t>
        </is>
      </c>
      <c r="F11" s="8" t="inlineStr">
        <is>
          <t>CR-08</t>
        </is>
      </c>
      <c r="G11" s="8" t="n">
        <v>3</v>
      </c>
      <c r="H11" s="8">
        <f>IF(E11="Done",G11,IF(E11="Partial",G11*0.5,0))</f>
        <v/>
      </c>
      <c r="I11" s="8" t="inlineStr">
        <is>
          <t>Hermes Design Specialist</t>
        </is>
      </c>
      <c r="J11" s="8" t="inlineStr"/>
    </row>
    <row r="12">
      <c r="A12" s="8" t="inlineStr">
        <is>
          <t>CCP-08</t>
        </is>
      </c>
      <c r="B12" s="8" t="inlineStr">
        <is>
          <t>Web search / page fetch</t>
        </is>
      </c>
      <c r="C12" s="8" t="inlineStr">
        <is>
          <t>Claude Code has its own WebSearch/WebFetch tools; Hermes's search_mcp.py (TM-02) is the preferred native path and already works.</t>
        </is>
      </c>
      <c r="D12" s="8" t="inlineStr">
        <is>
          <t>Hermes-VPS</t>
        </is>
      </c>
      <c r="E12" s="8" t="inlineStr">
        <is>
          <t>Done</t>
        </is>
      </c>
      <c r="F12" s="8" t="inlineStr">
        <is>
          <t>TM-02</t>
        </is>
      </c>
      <c r="G12" s="8" t="n">
        <v>3</v>
      </c>
      <c r="H12" s="8">
        <f>IF(E12="Done",G12,IF(E12="Partial",G12*0.5,0))</f>
        <v/>
      </c>
      <c r="I12" s="8" t="inlineStr">
        <is>
          <t>Platform/SRE</t>
        </is>
      </c>
      <c r="J12" s="8" t="inlineStr">
        <is>
          <t>Tool parity already achieved here</t>
        </is>
      </c>
    </row>
    <row r="13">
      <c r="A13" s="8" t="inlineStr">
        <is>
          <t>CCP-09</t>
        </is>
      </c>
      <c r="B13" s="8" t="inlineStr">
        <is>
          <t>Browser automation</t>
        </is>
      </c>
      <c r="C13" s="8" t="inlineStr">
        <is>
          <t>Claude Code has dedicated browser tools; Nous's native Tool Gateway advertises browser automation too, but it's unconfirmed/uncredentialed (same item as TM-07).</t>
        </is>
      </c>
      <c r="D13" s="8" t="inlineStr">
        <is>
          <t>Hermes-VPS</t>
        </is>
      </c>
      <c r="E13" s="8" t="inlineStr">
        <is>
          <t>Not Started</t>
        </is>
      </c>
      <c r="F13" s="8" t="inlineStr">
        <is>
          <t>TM-07</t>
        </is>
      </c>
      <c r="G13" s="8" t="n">
        <v>3</v>
      </c>
      <c r="H13" s="8">
        <f>IF(E13="Done",G13,IF(E13="Partial",G13*0.5,0))</f>
        <v/>
      </c>
      <c r="I13" s="8" t="inlineStr">
        <is>
          <t>Platform/SRE</t>
        </is>
      </c>
      <c r="J13" s="8" t="inlineStr"/>
    </row>
    <row r="14">
      <c r="A14" s="8" t="inlineStr">
        <is>
          <t>CCP-10</t>
        </is>
      </c>
      <c r="B14" s="8" t="inlineStr">
        <is>
          <t>Scheduled / recurring tasks</t>
        </is>
      </c>
      <c r="C14" s="8" t="inlineStr">
        <is>
          <t>Claude Code's environment can schedule wakeups/cron jobs for this kind of work; whether hermes-agent exposes an equivalent internal scheduler is unconfirmed.</t>
        </is>
      </c>
      <c r="D14" s="8" t="inlineStr">
        <is>
          <t>Hermes-VPS</t>
        </is>
      </c>
      <c r="E14" s="8" t="inlineStr">
        <is>
          <t>Not Started</t>
        </is>
      </c>
      <c r="F14" s="8" t="inlineStr"/>
      <c r="G14" s="8" t="n">
        <v>5</v>
      </c>
      <c r="H14" s="8">
        <f>IF(E14="Done",G14,IF(E14="Partial",G14*0.5,0))</f>
        <v/>
      </c>
      <c r="I14" s="8" t="inlineStr">
        <is>
          <t>Hermes Design Specialist</t>
        </is>
      </c>
      <c r="J14" s="8" t="inlineStr">
        <is>
          <t>Needed for things like secret-rotation reminders or nightly backup checks once those exist</t>
        </is>
      </c>
    </row>
    <row r="15">
      <c r="A15" s="8" t="inlineStr">
        <is>
          <t>CCP-11</t>
        </is>
      </c>
      <c r="B15" s="8" t="inlineStr">
        <is>
          <t>Session / multi-step task tracking</t>
        </is>
      </c>
      <c r="C15" s="8" t="inlineStr">
        <is>
          <t>Claude Code tracks its own task lists mid-session; unconfirmed whether hermes-agent has anything similar for tracking its own multi-step work.</t>
        </is>
      </c>
      <c r="D15" s="8" t="inlineStr">
        <is>
          <t>Hermes-VPS</t>
        </is>
      </c>
      <c r="E15" s="8" t="inlineStr">
        <is>
          <t>Not Started</t>
        </is>
      </c>
      <c r="F15" s="8" t="inlineStr"/>
      <c r="G15" s="8" t="n">
        <v>2</v>
      </c>
      <c r="H15" s="8">
        <f>IF(E15="Done",G15,IF(E15="Partial",G15*0.5,0))</f>
        <v/>
      </c>
      <c r="I15" s="8" t="inlineStr">
        <is>
          <t>Hermes Design Specialist</t>
        </is>
      </c>
      <c r="J15" s="8" t="inlineStr"/>
    </row>
    <row r="16">
      <c r="A16" s="8" t="inlineStr">
        <is>
          <t>CCP-12</t>
        </is>
      </c>
      <c r="B16" s="8" t="inlineStr">
        <is>
          <t>Full bootstrap retirement criterion</t>
        </is>
      </c>
      <c r="C16" s="8" t="inlineStr">
        <is>
          <t>The actual 'replace Claude Code with Hermes' finish line: every row above at parity, AND Hermes can perform this project's real maintenance (memory, git, infra) without Claude Code ever being opened.</t>
        </is>
      </c>
      <c r="D16" s="8" t="inlineStr">
        <is>
          <t>N/A (process/doc)</t>
        </is>
      </c>
      <c r="E16" s="8" t="inlineStr">
        <is>
          <t>Not Started</t>
        </is>
      </c>
      <c r="F16" s="8" t="inlineStr"/>
      <c r="G16" s="8" t="n">
        <v>10</v>
      </c>
      <c r="H16" s="8">
        <f>IF(E16="Done",G16,IF(E16="Partial",G16*0.5,0))</f>
        <v/>
      </c>
      <c r="I16" s="8" t="inlineStr">
        <is>
          <t>Hermes Design Specialist</t>
        </is>
      </c>
      <c r="J16" s="8" t="inlineStr">
        <is>
          <t>This is GV-02's concrete success criterion</t>
        </is>
      </c>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1">
      <c r="A41" s="8" t="n"/>
      <c r="B41" s="8" t="n"/>
      <c r="C41" s="8" t="n"/>
      <c r="D41" s="8" t="n"/>
      <c r="E41" s="8" t="n"/>
      <c r="F41" s="8" t="n"/>
      <c r="G41" s="8" t="n"/>
      <c r="H41" s="8">
        <f>IF(E41="Done",G41,IF(E41="Partial",G41*0.5,0))</f>
        <v/>
      </c>
      <c r="I41" s="8" t="n"/>
      <c r="J41" s="8" t="n"/>
    </row>
    <row r="42">
      <c r="A42" s="8" t="n"/>
      <c r="B42" s="8" t="n"/>
      <c r="C42" s="8" t="n"/>
      <c r="D42" s="8" t="n"/>
      <c r="E42" s="8" t="n"/>
      <c r="F42" s="8" t="n"/>
      <c r="G42" s="8" t="n"/>
      <c r="H42" s="8">
        <f>IF(E42="Done",G42,IF(E42="Partial",G42*0.5,0))</f>
        <v/>
      </c>
      <c r="I42" s="8" t="n"/>
      <c r="J42" s="8" t="n"/>
    </row>
    <row r="43">
      <c r="A43" s="8" t="n"/>
      <c r="B43" s="8" t="n"/>
      <c r="C43" s="8" t="n"/>
      <c r="D43" s="8" t="n"/>
      <c r="E43" s="8" t="n"/>
      <c r="F43" s="8" t="n"/>
      <c r="G43" s="8" t="n"/>
      <c r="H43" s="8">
        <f>IF(E43="Done",G43,IF(E43="Partial",G43*0.5,0))</f>
        <v/>
      </c>
      <c r="I43" s="8" t="n"/>
      <c r="J43" s="8" t="n"/>
    </row>
    <row r="44">
      <c r="A44" s="8" t="n"/>
      <c r="B44" s="8" t="n"/>
      <c r="C44" s="8" t="n"/>
      <c r="D44" s="8" t="n"/>
      <c r="E44" s="8" t="n"/>
      <c r="F44" s="8" t="n"/>
      <c r="G44" s="8" t="n"/>
      <c r="H44" s="8">
        <f>IF(E44="Done",G44,IF(E44="Partial",G44*0.5,0))</f>
        <v/>
      </c>
      <c r="I44" s="8" t="n"/>
      <c r="J44" s="8" t="n"/>
    </row>
    <row r="45">
      <c r="A45" s="8" t="n"/>
      <c r="B45" s="8" t="n"/>
      <c r="C45" s="8" t="n"/>
      <c r="D45" s="8" t="n"/>
      <c r="E45" s="8" t="n"/>
      <c r="F45" s="8" t="n"/>
      <c r="G45" s="8" t="n"/>
      <c r="H45" s="8">
        <f>IF(E45="Done",G45,IF(E45="Partial",G45*0.5,0))</f>
        <v/>
      </c>
      <c r="I45" s="8" t="n"/>
      <c r="J45" s="8" t="n"/>
    </row>
    <row r="46">
      <c r="A46" s="8" t="n"/>
      <c r="B46" s="8" t="n"/>
      <c r="C46" s="8" t="n"/>
      <c r="D46" s="8" t="n"/>
      <c r="E46" s="8" t="n"/>
      <c r="F46" s="8" t="n"/>
      <c r="G46" s="8" t="n"/>
      <c r="H46" s="8">
        <f>IF(E46="Done",G46,IF(E46="Partial",G46*0.5,0))</f>
        <v/>
      </c>
      <c r="I46" s="8" t="n"/>
      <c r="J46" s="8" t="n"/>
    </row>
    <row r="48">
      <c r="B48" s="20" t="inlineStr">
        <is>
          <t>TAB TOTAL (includes blank headroom rows above for future additions)</t>
        </is>
      </c>
      <c r="G48" s="20">
        <f>SUM(G5:G46)</f>
        <v/>
      </c>
      <c r="H48" s="20">
        <f>SUM(H5:H46)</f>
        <v/>
      </c>
      <c r="I48" s="20">
        <f>IFERROR(TEXT(H48/G48,"0%")&amp;" complete","0% complete")</f>
        <v/>
      </c>
    </row>
  </sheetData>
  <mergeCells count="2">
    <mergeCell ref="A1:J1"/>
    <mergeCell ref="A2:J2"/>
  </mergeCells>
  <conditionalFormatting sqref="E5:E46">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0E7C7B"/>
    <outlinePr summaryBelow="1" summaryRight="1"/>
    <pageSetUpPr/>
  </sheetPr>
  <dimension ref="A1:J4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54" customWidth="1" min="3" max="3"/>
    <col width="16" customWidth="1" min="4" max="4"/>
    <col width="12" customWidth="1" min="5" max="5"/>
    <col width="42" customWidth="1" min="6" max="6"/>
    <col width="7" customWidth="1" min="7" max="7"/>
    <col width="10" customWidth="1" min="8" max="8"/>
    <col width="22" customWidth="1" min="9" max="9"/>
    <col width="44" customWidth="1" min="10" max="10"/>
  </cols>
  <sheetData>
    <row r="1" ht="22" customHeight="1">
      <c r="A1" s="6" t="inlineStr">
        <is>
          <t>Productivity &amp; Acceptance Testing</t>
        </is>
      </c>
    </row>
    <row r="2" ht="16" customHeight="1">
      <c r="A2" s="2" t="inlineStr">
        <is>
          <t>What you actually get done through Hermes, and how to prove it works end-to-end — not just 'the service is running.' Flagged as a real coverage gap: the first 14 tabs are almost entirely infrastructure.</t>
        </is>
      </c>
    </row>
    <row r="4">
      <c r="A4" s="7" t="inlineStr">
        <is>
          <t>ID</t>
        </is>
      </c>
      <c r="B4" s="7" t="inlineStr">
        <is>
          <t>Feature</t>
        </is>
      </c>
      <c r="C4" s="7" t="inlineStr">
        <is>
          <t>Description (execution level)</t>
        </is>
      </c>
      <c r="D4" s="7" t="inlineStr">
        <is>
          <t>Must Live On</t>
        </is>
      </c>
      <c r="E4" s="7" t="inlineStr">
        <is>
          <t>Status</t>
        </is>
      </c>
      <c r="F4" s="7" t="inlineStr">
        <is>
          <t>Evidence / Location</t>
        </is>
      </c>
      <c r="G4" s="7" t="inlineStr">
        <is>
          <t>Points</t>
        </is>
      </c>
      <c r="H4" s="7" t="inlineStr">
        <is>
          <t>Points Earned</t>
        </is>
      </c>
      <c r="I4" s="7" t="inlineStr">
        <is>
          <t>Owner Role</t>
        </is>
      </c>
      <c r="J4" s="7" t="inlineStr">
        <is>
          <t>Notes / Next Action</t>
        </is>
      </c>
    </row>
    <row r="5">
      <c r="A5" s="8" t="inlineStr">
        <is>
          <t>PA-01</t>
        </is>
      </c>
      <c r="B5" s="8" t="inlineStr">
        <is>
          <t>Google Drive file find/open/edit</t>
        </is>
      </c>
      <c r="C5" s="8" t="inlineStr">
        <is>
          <t>Locate and edit an existing file in Drive by name/content, not just by exact path.</t>
        </is>
      </c>
      <c r="D5" s="8" t="inlineStr">
        <is>
          <t>Hermes-VPS</t>
        </is>
      </c>
      <c r="E5" s="8" t="inlineStr">
        <is>
          <t>Not Started</t>
        </is>
      </c>
      <c r="F5" s="8" t="inlineStr">
        <is>
          <t>hermes-google-office-preference-2026-10-04</t>
        </is>
      </c>
      <c r="G5" s="8" t="n">
        <v>5</v>
      </c>
      <c r="H5" s="8">
        <f>IF(E5="Done",G5,IF(E5="Partial",G5*0.5,0))</f>
        <v/>
      </c>
      <c r="I5" s="8" t="inlineStr">
        <is>
          <t>Interface Engineer</t>
        </is>
      </c>
      <c r="J5" s="8" t="inlineStr">
        <is>
          <t>User prefers Google's office ecosystem for agentic work — no integration exists yet</t>
        </is>
      </c>
    </row>
    <row r="6">
      <c r="A6" s="8" t="inlineStr">
        <is>
          <t>PA-02</t>
        </is>
      </c>
      <c r="B6" s="8" t="inlineStr">
        <is>
          <t>Create/edit Docs, Sheets, Slides</t>
        </is>
      </c>
      <c r="C6" s="8" t="inlineStr">
        <is>
          <t>Produce a real Doc/Sheet/Slide deck from a request, not just a local file Hermes can't put anywhere the user already works.</t>
        </is>
      </c>
      <c r="D6" s="8" t="inlineStr">
        <is>
          <t>Hermes-VPS</t>
        </is>
      </c>
      <c r="E6" s="8" t="inlineStr">
        <is>
          <t>Not Started</t>
        </is>
      </c>
      <c r="F6" s="8" t="inlineStr"/>
      <c r="G6" s="8" t="n">
        <v>8</v>
      </c>
      <c r="H6" s="8">
        <f>IF(E6="Done",G6,IF(E6="Partial",G6*0.5,0))</f>
        <v/>
      </c>
      <c r="I6" s="8" t="inlineStr">
        <is>
          <t>Interface Engineer</t>
        </is>
      </c>
      <c r="J6" s="8" t="inlineStr"/>
    </row>
    <row r="7">
      <c r="A7" s="8" t="inlineStr">
        <is>
          <t>PA-03</t>
        </is>
      </c>
      <c r="B7" s="8" t="inlineStr">
        <is>
          <t>Gmail workflow (read/draft/send)</t>
        </is>
      </c>
      <c r="C7" s="8" t="inlineStr">
        <is>
          <t>At minimum: search mail, draft a reply, send with confirmation for anything irreversible.</t>
        </is>
      </c>
      <c r="D7" s="8" t="inlineStr">
        <is>
          <t>Hermes-VPS</t>
        </is>
      </c>
      <c r="E7" s="8" t="inlineStr">
        <is>
          <t>Not Started</t>
        </is>
      </c>
      <c r="F7" s="8" t="inlineStr"/>
      <c r="G7" s="8" t="n">
        <v>5</v>
      </c>
      <c r="H7" s="8">
        <f>IF(E7="Done",G7,IF(E7="Partial",G7*0.5,0))</f>
        <v/>
      </c>
      <c r="I7" s="8" t="inlineStr">
        <is>
          <t>Interface Engineer</t>
        </is>
      </c>
      <c r="J7" s="8" t="inlineStr"/>
    </row>
    <row r="8">
      <c r="A8" s="8" t="inlineStr">
        <is>
          <t>PA-04</t>
        </is>
      </c>
      <c r="B8" s="8" t="inlineStr">
        <is>
          <t>Calendar workflow (read/create/respond)</t>
        </is>
      </c>
      <c r="C8" s="8" t="inlineStr">
        <is>
          <t>Check availability, create an event, respond to an invite.</t>
        </is>
      </c>
      <c r="D8" s="8" t="inlineStr">
        <is>
          <t>Hermes-VPS</t>
        </is>
      </c>
      <c r="E8" s="8" t="inlineStr">
        <is>
          <t>Not Started</t>
        </is>
      </c>
      <c r="F8" s="8" t="inlineStr"/>
      <c r="G8" s="8" t="n">
        <v>5</v>
      </c>
      <c r="H8" s="8">
        <f>IF(E8="Done",G8,IF(E8="Partial",G8*0.5,0))</f>
        <v/>
      </c>
      <c r="I8" s="8" t="inlineStr">
        <is>
          <t>Interface Engineer</t>
        </is>
      </c>
      <c r="J8" s="8" t="inlineStr"/>
    </row>
    <row r="9">
      <c r="A9" s="8" t="inlineStr">
        <is>
          <t>PA-05</t>
        </is>
      </c>
      <c r="B9" s="8" t="inlineStr">
        <is>
          <t>Finished-deliverable acceptance test</t>
        </is>
      </c>
      <c r="C9" s="8" t="inlineStr">
        <is>
          <t>Produce an artifact (doc, sheet, code, report), inspect its own layout/calculations for correctness, revise it, and deliver it somewhere the user can actually use it — not just 'file was created.'</t>
        </is>
      </c>
      <c r="D9" s="8" t="inlineStr">
        <is>
          <t>N/A (process/doc)</t>
        </is>
      </c>
      <c r="E9" s="8" t="inlineStr">
        <is>
          <t>Not Started</t>
        </is>
      </c>
      <c r="F9" s="8" t="inlineStr"/>
      <c r="G9" s="8" t="n">
        <v>8</v>
      </c>
      <c r="H9" s="8">
        <f>IF(E9="Done",G9,IF(E9="Partial",G9*0.5,0))</f>
        <v/>
      </c>
      <c r="I9" s="8" t="inlineStr">
        <is>
          <t>Hermes Design Specialist</t>
        </is>
      </c>
      <c r="J9" s="8" t="inlineStr">
        <is>
          <t>This is the actual test this workbook itself should pass once Hermes builds things like it</t>
        </is>
      </c>
    </row>
    <row r="10">
      <c r="A10" s="8" t="inlineStr">
        <is>
          <t>PA-06</t>
        </is>
      </c>
      <c r="B10" s="8" t="inlineStr">
        <is>
          <t>Persistent project continuity</t>
        </is>
      </c>
      <c r="C10" s="8" t="inlineStr">
        <is>
          <t>Resume work on a named project across sessions, retain its decisions, distinguish it from other concurrent projects, and correct an outdated memory when told it's wrong.</t>
        </is>
      </c>
      <c r="D10" s="8" t="inlineStr">
        <is>
          <t>Hermes-VPS</t>
        </is>
      </c>
      <c r="E10" s="8" t="inlineStr">
        <is>
          <t>Not Started</t>
        </is>
      </c>
      <c r="F10" s="8" t="inlineStr"/>
      <c r="G10" s="8" t="n">
        <v>10</v>
      </c>
      <c r="H10" s="8">
        <f>IF(E10="Done",G10,IF(E10="Partial",G10*0.5,0))</f>
        <v/>
      </c>
      <c r="I10" s="8" t="inlineStr">
        <is>
          <t>Hermes Design Specialist</t>
        </is>
      </c>
      <c r="J10" s="8" t="inlineStr">
        <is>
          <t>Overlaps 02_Identity_Memory but from the angle of multiple concurrent projects, not just single-identity continuity</t>
        </is>
      </c>
    </row>
    <row r="11">
      <c r="A11" s="8" t="inlineStr">
        <is>
          <t>PA-07</t>
        </is>
      </c>
      <c r="B11" s="8" t="inlineStr">
        <is>
          <t>Long-running work: schedule/monitor/notify</t>
        </is>
      </c>
      <c r="C11" s="8" t="inlineStr">
        <is>
          <t>Schedule a task, monitor it to completion, notify the user without repeating actions already done.</t>
        </is>
      </c>
      <c r="D11" s="8" t="inlineStr">
        <is>
          <t>Hermes-VPS</t>
        </is>
      </c>
      <c r="E11" s="8" t="inlineStr">
        <is>
          <t>Not Started</t>
        </is>
      </c>
      <c r="F11" s="8" t="inlineStr"/>
      <c r="G11" s="8" t="n">
        <v>8</v>
      </c>
      <c r="H11" s="8">
        <f>IF(E11="Done",G11,IF(E11="Partial",G11*0.5,0))</f>
        <v/>
      </c>
      <c r="I11" s="8" t="inlineStr">
        <is>
          <t>Hermes Design Specialist</t>
        </is>
      </c>
      <c r="J11" s="8" t="inlineStr"/>
    </row>
    <row r="12">
      <c r="A12" s="8" t="inlineStr">
        <is>
          <t>PA-08</t>
        </is>
      </c>
      <c r="B12" s="8" t="inlineStr">
        <is>
          <t>Long-running work: pause/cancel/resume-after-failure</t>
        </is>
      </c>
      <c r="C12" s="8" t="inlineStr">
        <is>
          <t>The harder half of PA-07 — recovering a long task after a crash or interruption without starting over or duplicating completed steps.</t>
        </is>
      </c>
      <c r="D12" s="8" t="inlineStr">
        <is>
          <t>Hermes-VPS</t>
        </is>
      </c>
      <c r="E12" s="8" t="inlineStr">
        <is>
          <t>Not Started</t>
        </is>
      </c>
      <c r="F12" s="8" t="inlineStr"/>
      <c r="G12" s="8" t="n">
        <v>8</v>
      </c>
      <c r="H12" s="8">
        <f>IF(E12="Done",G12,IF(E12="Partial",G12*0.5,0))</f>
        <v/>
      </c>
      <c r="I12" s="8" t="inlineStr">
        <is>
          <t>Hermes Design Specialist</t>
        </is>
      </c>
      <c r="J12" s="8" t="inlineStr"/>
    </row>
    <row r="13">
      <c r="A13" s="8" t="inlineStr">
        <is>
          <t>PA-09</t>
        </is>
      </c>
      <c r="B13" s="8" t="inlineStr">
        <is>
          <t>Agent behavior: permitted-actions policy</t>
        </is>
      </c>
      <c r="C13" s="8" t="inlineStr">
        <is>
          <t>A written definition of what Hermes may do autonomously vs. needs confirmation for — the Hermes equivalent of this session's own instruction-source-boundary rules.</t>
        </is>
      </c>
      <c r="D13" s="8" t="inlineStr">
        <is>
          <t>N/A (process/doc)</t>
        </is>
      </c>
      <c r="E13" s="8" t="inlineStr">
        <is>
          <t>Not Started</t>
        </is>
      </c>
      <c r="F13" s="8" t="inlineStr"/>
      <c r="G13" s="8" t="n">
        <v>8</v>
      </c>
      <c r="H13" s="8">
        <f>IF(E13="Done",G13,IF(E13="Partial",G13*0.5,0))</f>
        <v/>
      </c>
      <c r="I13" s="8" t="inlineStr">
        <is>
          <t>Hermes Design Specialist</t>
        </is>
      </c>
      <c r="J13" s="8" t="inlineStr"/>
    </row>
    <row r="14">
      <c r="A14" s="8" t="inlineStr">
        <is>
          <t>PA-10</t>
        </is>
      </c>
      <c r="B14" s="8" t="inlineStr">
        <is>
          <t>Agent behavior: untrusted-content handling</t>
        </is>
      </c>
      <c r="C14" s="8" t="inlineStr">
        <is>
          <t>How Hermes treats instructions it finds inside documents/emails/web pages it's asked to process — should never treat embedded text as commands from the user.</t>
        </is>
      </c>
      <c r="D14" s="8" t="inlineStr">
        <is>
          <t>N/A (process/doc)</t>
        </is>
      </c>
      <c r="E14" s="8" t="inlineStr">
        <is>
          <t>Not Started</t>
        </is>
      </c>
      <c r="F14" s="8" t="inlineStr"/>
      <c r="G14" s="8" t="n">
        <v>8</v>
      </c>
      <c r="H14" s="8">
        <f>IF(E14="Done",G14,IF(E14="Partial",G14*0.5,0))</f>
        <v/>
      </c>
      <c r="I14" s="8" t="inlineStr">
        <is>
          <t>Security Reviewer</t>
        </is>
      </c>
      <c r="J14" s="8" t="inlineStr"/>
    </row>
    <row r="15">
      <c r="A15" s="8" t="inlineStr">
        <is>
          <t>PA-11</t>
        </is>
      </c>
      <c r="B15" s="8" t="inlineStr">
        <is>
          <t>Agent behavior: tool-failure recovery</t>
        </is>
      </c>
      <c r="C15" s="8" t="inlineStr">
        <is>
          <t>What Hermes does when a tool call fails mid-task — retry, degrade, or stop and ask — needs to be a defined behavior, not whatever happens by accident.</t>
        </is>
      </c>
      <c r="D15" s="8" t="inlineStr">
        <is>
          <t>Hermes-VPS</t>
        </is>
      </c>
      <c r="E15" s="8" t="inlineStr">
        <is>
          <t>Not Started</t>
        </is>
      </c>
      <c r="F15" s="8" t="inlineStr"/>
      <c r="G15" s="8" t="n">
        <v>5</v>
      </c>
      <c r="H15" s="8">
        <f>IF(E15="Done",G15,IF(E15="Partial",G15*0.5,0))</f>
        <v/>
      </c>
      <c r="I15" s="8" t="inlineStr">
        <is>
          <t>Hermes Design Specialist</t>
        </is>
      </c>
      <c r="J15" s="8" t="inlineStr"/>
    </row>
    <row r="16">
      <c r="A16" s="8" t="inlineStr">
        <is>
          <t>PA-12</t>
        </is>
      </c>
      <c r="B16" s="8" t="inlineStr">
        <is>
          <t>Acceptance testing as a standing practice</t>
        </is>
      </c>
      <c r="C16" s="8" t="inlineStr">
        <is>
          <t>Prove complete user workflows with observable results (a sent email, a usable spreadsheet, a working deploy) as the actual definition of 'done' — not 'tool installed' or 'service running,' which the rest of this workbook leans on heavily.</t>
        </is>
      </c>
      <c r="D16" s="8" t="inlineStr">
        <is>
          <t>N/A (process/doc)</t>
        </is>
      </c>
      <c r="E16" s="8" t="inlineStr">
        <is>
          <t>Not Started</t>
        </is>
      </c>
      <c r="F16" s="8" t="inlineStr"/>
      <c r="G16" s="8" t="n">
        <v>8</v>
      </c>
      <c r="H16" s="8">
        <f>IF(E16="Done",G16,IF(E16="Partial",G16*0.5,0))</f>
        <v/>
      </c>
      <c r="I16" s="8" t="inlineStr">
        <is>
          <t>Hermes Design Specialist</t>
        </is>
      </c>
      <c r="J16" s="8" t="inlineStr">
        <is>
          <t>Direct response to this tab's own review feedback — apply this standard to every other tab's Done rows too, retroactively, as time allows</t>
        </is>
      </c>
    </row>
    <row r="17">
      <c r="A17" s="8" t="n"/>
      <c r="B17" s="8" t="n"/>
      <c r="C17" s="8" t="n"/>
      <c r="D17" s="8" t="n"/>
      <c r="E17" s="8" t="n"/>
      <c r="F17" s="8" t="n"/>
      <c r="G17" s="8" t="n"/>
      <c r="H17" s="8">
        <f>IF(E17="Done",G17,IF(E17="Partial",G17*0.5,0))</f>
        <v/>
      </c>
      <c r="I17" s="8" t="n"/>
      <c r="J17" s="8" t="n"/>
    </row>
    <row r="18">
      <c r="A18" s="8" t="n"/>
      <c r="B18" s="8" t="n"/>
      <c r="C18" s="8" t="n"/>
      <c r="D18" s="8" t="n"/>
      <c r="E18" s="8" t="n"/>
      <c r="F18" s="8" t="n"/>
      <c r="G18" s="8" t="n"/>
      <c r="H18" s="8">
        <f>IF(E18="Done",G18,IF(E18="Partial",G18*0.5,0))</f>
        <v/>
      </c>
      <c r="I18" s="8" t="n"/>
      <c r="J18" s="8" t="n"/>
    </row>
    <row r="19">
      <c r="A19" s="8" t="n"/>
      <c r="B19" s="8" t="n"/>
      <c r="C19" s="8" t="n"/>
      <c r="D19" s="8" t="n"/>
      <c r="E19" s="8" t="n"/>
      <c r="F19" s="8" t="n"/>
      <c r="G19" s="8" t="n"/>
      <c r="H19" s="8">
        <f>IF(E19="Done",G19,IF(E19="Partial",G19*0.5,0))</f>
        <v/>
      </c>
      <c r="I19" s="8" t="n"/>
      <c r="J19" s="8" t="n"/>
    </row>
    <row r="20">
      <c r="A20" s="8" t="n"/>
      <c r="B20" s="8" t="n"/>
      <c r="C20" s="8" t="n"/>
      <c r="D20" s="8" t="n"/>
      <c r="E20" s="8" t="n"/>
      <c r="F20" s="8" t="n"/>
      <c r="G20" s="8" t="n"/>
      <c r="H20" s="8">
        <f>IF(E20="Done",G20,IF(E20="Partial",G20*0.5,0))</f>
        <v/>
      </c>
      <c r="I20" s="8" t="n"/>
      <c r="J20" s="8" t="n"/>
    </row>
    <row r="21">
      <c r="A21" s="8" t="n"/>
      <c r="B21" s="8" t="n"/>
      <c r="C21" s="8" t="n"/>
      <c r="D21" s="8" t="n"/>
      <c r="E21" s="8" t="n"/>
      <c r="F21" s="8" t="n"/>
      <c r="G21" s="8" t="n"/>
      <c r="H21" s="8">
        <f>IF(E21="Done",G21,IF(E21="Partial",G21*0.5,0))</f>
        <v/>
      </c>
      <c r="I21" s="8" t="n"/>
      <c r="J21" s="8" t="n"/>
    </row>
    <row r="22">
      <c r="A22" s="8" t="n"/>
      <c r="B22" s="8" t="n"/>
      <c r="C22" s="8" t="n"/>
      <c r="D22" s="8" t="n"/>
      <c r="E22" s="8" t="n"/>
      <c r="F22" s="8" t="n"/>
      <c r="G22" s="8" t="n"/>
      <c r="H22" s="8">
        <f>IF(E22="Done",G22,IF(E22="Partial",G22*0.5,0))</f>
        <v/>
      </c>
      <c r="I22" s="8" t="n"/>
      <c r="J22" s="8" t="n"/>
    </row>
    <row r="23">
      <c r="A23" s="8" t="n"/>
      <c r="B23" s="8" t="n"/>
      <c r="C23" s="8" t="n"/>
      <c r="D23" s="8" t="n"/>
      <c r="E23" s="8" t="n"/>
      <c r="F23" s="8" t="n"/>
      <c r="G23" s="8" t="n"/>
      <c r="H23" s="8">
        <f>IF(E23="Done",G23,IF(E23="Partial",G23*0.5,0))</f>
        <v/>
      </c>
      <c r="I23" s="8" t="n"/>
      <c r="J23" s="8" t="n"/>
    </row>
    <row r="24">
      <c r="A24" s="8" t="n"/>
      <c r="B24" s="8" t="n"/>
      <c r="C24" s="8" t="n"/>
      <c r="D24" s="8" t="n"/>
      <c r="E24" s="8" t="n"/>
      <c r="F24" s="8" t="n"/>
      <c r="G24" s="8" t="n"/>
      <c r="H24" s="8">
        <f>IF(E24="Done",G24,IF(E24="Partial",G24*0.5,0))</f>
        <v/>
      </c>
      <c r="I24" s="8" t="n"/>
      <c r="J24" s="8" t="n"/>
    </row>
    <row r="25">
      <c r="A25" s="8" t="n"/>
      <c r="B25" s="8" t="n"/>
      <c r="C25" s="8" t="n"/>
      <c r="D25" s="8" t="n"/>
      <c r="E25" s="8" t="n"/>
      <c r="F25" s="8" t="n"/>
      <c r="G25" s="8" t="n"/>
      <c r="H25" s="8">
        <f>IF(E25="Done",G25,IF(E25="Partial",G25*0.5,0))</f>
        <v/>
      </c>
      <c r="I25" s="8" t="n"/>
      <c r="J25" s="8" t="n"/>
    </row>
    <row r="26">
      <c r="A26" s="8" t="n"/>
      <c r="B26" s="8" t="n"/>
      <c r="C26" s="8" t="n"/>
      <c r="D26" s="8" t="n"/>
      <c r="E26" s="8" t="n"/>
      <c r="F26" s="8" t="n"/>
      <c r="G26" s="8" t="n"/>
      <c r="H26" s="8">
        <f>IF(E26="Done",G26,IF(E26="Partial",G26*0.5,0))</f>
        <v/>
      </c>
      <c r="I26" s="8" t="n"/>
      <c r="J26" s="8" t="n"/>
    </row>
    <row r="27">
      <c r="A27" s="8" t="n"/>
      <c r="B27" s="8" t="n"/>
      <c r="C27" s="8" t="n"/>
      <c r="D27" s="8" t="n"/>
      <c r="E27" s="8" t="n"/>
      <c r="F27" s="8" t="n"/>
      <c r="G27" s="8" t="n"/>
      <c r="H27" s="8">
        <f>IF(E27="Done",G27,IF(E27="Partial",G27*0.5,0))</f>
        <v/>
      </c>
      <c r="I27" s="8" t="n"/>
      <c r="J27" s="8" t="n"/>
    </row>
    <row r="28">
      <c r="A28" s="8" t="n"/>
      <c r="B28" s="8" t="n"/>
      <c r="C28" s="8" t="n"/>
      <c r="D28" s="8" t="n"/>
      <c r="E28" s="8" t="n"/>
      <c r="F28" s="8" t="n"/>
      <c r="G28" s="8" t="n"/>
      <c r="H28" s="8">
        <f>IF(E28="Done",G28,IF(E28="Partial",G28*0.5,0))</f>
        <v/>
      </c>
      <c r="I28" s="8" t="n"/>
      <c r="J28" s="8" t="n"/>
    </row>
    <row r="29">
      <c r="A29" s="8" t="n"/>
      <c r="B29" s="8" t="n"/>
      <c r="C29" s="8" t="n"/>
      <c r="D29" s="8" t="n"/>
      <c r="E29" s="8" t="n"/>
      <c r="F29" s="8" t="n"/>
      <c r="G29" s="8" t="n"/>
      <c r="H29" s="8">
        <f>IF(E29="Done",G29,IF(E29="Partial",G29*0.5,0))</f>
        <v/>
      </c>
      <c r="I29" s="8" t="n"/>
      <c r="J29" s="8" t="n"/>
    </row>
    <row r="30">
      <c r="A30" s="8" t="n"/>
      <c r="B30" s="8" t="n"/>
      <c r="C30" s="8" t="n"/>
      <c r="D30" s="8" t="n"/>
      <c r="E30" s="8" t="n"/>
      <c r="F30" s="8" t="n"/>
      <c r="G30" s="8" t="n"/>
      <c r="H30" s="8">
        <f>IF(E30="Done",G30,IF(E30="Partial",G30*0.5,0))</f>
        <v/>
      </c>
      <c r="I30" s="8" t="n"/>
      <c r="J30" s="8" t="n"/>
    </row>
    <row r="31">
      <c r="A31" s="8" t="n"/>
      <c r="B31" s="8" t="n"/>
      <c r="C31" s="8" t="n"/>
      <c r="D31" s="8" t="n"/>
      <c r="E31" s="8" t="n"/>
      <c r="F31" s="8" t="n"/>
      <c r="G31" s="8" t="n"/>
      <c r="H31" s="8">
        <f>IF(E31="Done",G31,IF(E31="Partial",G31*0.5,0))</f>
        <v/>
      </c>
      <c r="I31" s="8" t="n"/>
      <c r="J31" s="8" t="n"/>
    </row>
    <row r="32">
      <c r="A32" s="8" t="n"/>
      <c r="B32" s="8" t="n"/>
      <c r="C32" s="8" t="n"/>
      <c r="D32" s="8" t="n"/>
      <c r="E32" s="8" t="n"/>
      <c r="F32" s="8" t="n"/>
      <c r="G32" s="8" t="n"/>
      <c r="H32" s="8">
        <f>IF(E32="Done",G32,IF(E32="Partial",G32*0.5,0))</f>
        <v/>
      </c>
      <c r="I32" s="8" t="n"/>
      <c r="J32" s="8" t="n"/>
    </row>
    <row r="33">
      <c r="A33" s="8" t="n"/>
      <c r="B33" s="8" t="n"/>
      <c r="C33" s="8" t="n"/>
      <c r="D33" s="8" t="n"/>
      <c r="E33" s="8" t="n"/>
      <c r="F33" s="8" t="n"/>
      <c r="G33" s="8" t="n"/>
      <c r="H33" s="8">
        <f>IF(E33="Done",G33,IF(E33="Partial",G33*0.5,0))</f>
        <v/>
      </c>
      <c r="I33" s="8" t="n"/>
      <c r="J33" s="8" t="n"/>
    </row>
    <row r="34">
      <c r="A34" s="8" t="n"/>
      <c r="B34" s="8" t="n"/>
      <c r="C34" s="8" t="n"/>
      <c r="D34" s="8" t="n"/>
      <c r="E34" s="8" t="n"/>
      <c r="F34" s="8" t="n"/>
      <c r="G34" s="8" t="n"/>
      <c r="H34" s="8">
        <f>IF(E34="Done",G34,IF(E34="Partial",G34*0.5,0))</f>
        <v/>
      </c>
      <c r="I34" s="8" t="n"/>
      <c r="J34" s="8" t="n"/>
    </row>
    <row r="35">
      <c r="A35" s="8" t="n"/>
      <c r="B35" s="8" t="n"/>
      <c r="C35" s="8" t="n"/>
      <c r="D35" s="8" t="n"/>
      <c r="E35" s="8" t="n"/>
      <c r="F35" s="8" t="n"/>
      <c r="G35" s="8" t="n"/>
      <c r="H35" s="8">
        <f>IF(E35="Done",G35,IF(E35="Partial",G35*0.5,0))</f>
        <v/>
      </c>
      <c r="I35" s="8" t="n"/>
      <c r="J35" s="8" t="n"/>
    </row>
    <row r="36">
      <c r="A36" s="8" t="n"/>
      <c r="B36" s="8" t="n"/>
      <c r="C36" s="8" t="n"/>
      <c r="D36" s="8" t="n"/>
      <c r="E36" s="8" t="n"/>
      <c r="F36" s="8" t="n"/>
      <c r="G36" s="8" t="n"/>
      <c r="H36" s="8">
        <f>IF(E36="Done",G36,IF(E36="Partial",G36*0.5,0))</f>
        <v/>
      </c>
      <c r="I36" s="8" t="n"/>
      <c r="J36" s="8" t="n"/>
    </row>
    <row r="37">
      <c r="A37" s="8" t="n"/>
      <c r="B37" s="8" t="n"/>
      <c r="C37" s="8" t="n"/>
      <c r="D37" s="8" t="n"/>
      <c r="E37" s="8" t="n"/>
      <c r="F37" s="8" t="n"/>
      <c r="G37" s="8" t="n"/>
      <c r="H37" s="8">
        <f>IF(E37="Done",G37,IF(E37="Partial",G37*0.5,0))</f>
        <v/>
      </c>
      <c r="I37" s="8" t="n"/>
      <c r="J37" s="8" t="n"/>
    </row>
    <row r="38">
      <c r="A38" s="8" t="n"/>
      <c r="B38" s="8" t="n"/>
      <c r="C38" s="8" t="n"/>
      <c r="D38" s="8" t="n"/>
      <c r="E38" s="8" t="n"/>
      <c r="F38" s="8" t="n"/>
      <c r="G38" s="8" t="n"/>
      <c r="H38" s="8">
        <f>IF(E38="Done",G38,IF(E38="Partial",G38*0.5,0))</f>
        <v/>
      </c>
      <c r="I38" s="8" t="n"/>
      <c r="J38" s="8" t="n"/>
    </row>
    <row r="39">
      <c r="A39" s="8" t="n"/>
      <c r="B39" s="8" t="n"/>
      <c r="C39" s="8" t="n"/>
      <c r="D39" s="8" t="n"/>
      <c r="E39" s="8" t="n"/>
      <c r="F39" s="8" t="n"/>
      <c r="G39" s="8" t="n"/>
      <c r="H39" s="8">
        <f>IF(E39="Done",G39,IF(E39="Partial",G39*0.5,0))</f>
        <v/>
      </c>
      <c r="I39" s="8" t="n"/>
      <c r="J39" s="8" t="n"/>
    </row>
    <row r="40">
      <c r="A40" s="8" t="n"/>
      <c r="B40" s="8" t="n"/>
      <c r="C40" s="8" t="n"/>
      <c r="D40" s="8" t="n"/>
      <c r="E40" s="8" t="n"/>
      <c r="F40" s="8" t="n"/>
      <c r="G40" s="8" t="n"/>
      <c r="H40" s="8">
        <f>IF(E40="Done",G40,IF(E40="Partial",G40*0.5,0))</f>
        <v/>
      </c>
      <c r="I40" s="8" t="n"/>
      <c r="J40" s="8" t="n"/>
    </row>
    <row r="41">
      <c r="A41" s="8" t="n"/>
      <c r="B41" s="8" t="n"/>
      <c r="C41" s="8" t="n"/>
      <c r="D41" s="8" t="n"/>
      <c r="E41" s="8" t="n"/>
      <c r="F41" s="8" t="n"/>
      <c r="G41" s="8" t="n"/>
      <c r="H41" s="8">
        <f>IF(E41="Done",G41,IF(E41="Partial",G41*0.5,0))</f>
        <v/>
      </c>
      <c r="I41" s="8" t="n"/>
      <c r="J41" s="8" t="n"/>
    </row>
    <row r="42">
      <c r="A42" s="8" t="n"/>
      <c r="B42" s="8" t="n"/>
      <c r="C42" s="8" t="n"/>
      <c r="D42" s="8" t="n"/>
      <c r="E42" s="8" t="n"/>
      <c r="F42" s="8" t="n"/>
      <c r="G42" s="8" t="n"/>
      <c r="H42" s="8">
        <f>IF(E42="Done",G42,IF(E42="Partial",G42*0.5,0))</f>
        <v/>
      </c>
      <c r="I42" s="8" t="n"/>
      <c r="J42" s="8" t="n"/>
    </row>
    <row r="43">
      <c r="A43" s="8" t="n"/>
      <c r="B43" s="8" t="n"/>
      <c r="C43" s="8" t="n"/>
      <c r="D43" s="8" t="n"/>
      <c r="E43" s="8" t="n"/>
      <c r="F43" s="8" t="n"/>
      <c r="G43" s="8" t="n"/>
      <c r="H43" s="8">
        <f>IF(E43="Done",G43,IF(E43="Partial",G43*0.5,0))</f>
        <v/>
      </c>
      <c r="I43" s="8" t="n"/>
      <c r="J43" s="8" t="n"/>
    </row>
    <row r="44">
      <c r="A44" s="8" t="n"/>
      <c r="B44" s="8" t="n"/>
      <c r="C44" s="8" t="n"/>
      <c r="D44" s="8" t="n"/>
      <c r="E44" s="8" t="n"/>
      <c r="F44" s="8" t="n"/>
      <c r="G44" s="8" t="n"/>
      <c r="H44" s="8">
        <f>IF(E44="Done",G44,IF(E44="Partial",G44*0.5,0))</f>
        <v/>
      </c>
      <c r="I44" s="8" t="n"/>
      <c r="J44" s="8" t="n"/>
    </row>
    <row r="45">
      <c r="A45" s="8" t="n"/>
      <c r="B45" s="8" t="n"/>
      <c r="C45" s="8" t="n"/>
      <c r="D45" s="8" t="n"/>
      <c r="E45" s="8" t="n"/>
      <c r="F45" s="8" t="n"/>
      <c r="G45" s="8" t="n"/>
      <c r="H45" s="8">
        <f>IF(E45="Done",G45,IF(E45="Partial",G45*0.5,0))</f>
        <v/>
      </c>
      <c r="I45" s="8" t="n"/>
      <c r="J45" s="8" t="n"/>
    </row>
    <row r="46">
      <c r="A46" s="8" t="n"/>
      <c r="B46" s="8" t="n"/>
      <c r="C46" s="8" t="n"/>
      <c r="D46" s="8" t="n"/>
      <c r="E46" s="8" t="n"/>
      <c r="F46" s="8" t="n"/>
      <c r="G46" s="8" t="n"/>
      <c r="H46" s="8">
        <f>IF(E46="Done",G46,IF(E46="Partial",G46*0.5,0))</f>
        <v/>
      </c>
      <c r="I46" s="8" t="n"/>
      <c r="J46" s="8" t="n"/>
    </row>
    <row r="48">
      <c r="B48" s="20" t="inlineStr">
        <is>
          <t>TAB TOTAL (includes blank headroom rows above for future additions)</t>
        </is>
      </c>
      <c r="G48" s="20">
        <f>SUM(G5:G46)</f>
        <v/>
      </c>
      <c r="H48" s="20">
        <f>SUM(H5:H46)</f>
        <v/>
      </c>
      <c r="I48" s="20">
        <f>IFERROR(TEXT(H48/G48,"0%")&amp;" complete","0% complete")</f>
        <v/>
      </c>
    </row>
  </sheetData>
  <mergeCells count="2">
    <mergeCell ref="A1:J1"/>
    <mergeCell ref="A2:J2"/>
  </mergeCells>
  <conditionalFormatting sqref="E5:E46">
    <cfRule type="cellIs" priority="1" operator="equal" dxfId="3">
      <formula>"Done"</formula>
    </cfRule>
    <cfRule type="cellIs" priority="2" operator="equal" dxfId="4">
      <formula>"Partial"</formula>
    </cfRule>
    <cfRule type="cellIs" priority="3" operator="equal" dxfId="5">
      <formula>"Not Started"</formula>
    </cfRule>
  </conditionalFormatting>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8A5A2E"/>
    <outlinePr summaryBelow="1" summaryRight="1"/>
    <pageSetUpPr/>
  </sheetPr>
  <dimension ref="A1:E1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0" customWidth="1" min="2" max="2"/>
    <col width="16" customWidth="1" min="3" max="3"/>
    <col width="48" customWidth="1" min="4" max="4"/>
    <col width="34" customWidth="1" min="5" max="5"/>
  </cols>
  <sheetData>
    <row r="1" ht="22" customHeight="1">
      <c r="A1" s="6" t="inlineStr">
        <is>
          <t>Discovery — Vultr Services Audit</t>
        </is>
      </c>
    </row>
    <row r="2" ht="16" customHeight="1">
      <c r="A2" s="2" t="inlineStr">
        <is>
          <t>What Vultr actually offers, researched 2026-10-04, mapped against whether Hermes should use it. Reference material, not a tracked backlog — the resulting action items live in the 01-15 tabs, not here.</t>
        </is>
      </c>
    </row>
    <row r="4">
      <c r="A4" s="7" t="inlineStr">
        <is>
          <t>Service</t>
        </is>
      </c>
      <c r="B4" s="7" t="inlineStr">
        <is>
          <t>What it does</t>
        </is>
      </c>
      <c r="C4" s="7" t="inlineStr">
        <is>
          <t>Relevant to Hermes?</t>
        </is>
      </c>
      <c r="D4" s="7" t="inlineStr">
        <is>
          <t>Why</t>
        </is>
      </c>
      <c r="E4" s="7" t="inlineStr">
        <is>
          <t>Priority</t>
        </is>
      </c>
    </row>
    <row r="5">
      <c r="A5" s="8" t="inlineStr">
        <is>
          <t>Cloud Compute (High Performance AMD)</t>
        </is>
      </c>
      <c r="B5" s="8" t="inlineStr">
        <is>
          <t>VPS tiers — the box Hermes itself runs on.</t>
        </is>
      </c>
      <c r="C5" s="8" t="inlineStr">
        <is>
          <t>Already using</t>
        </is>
      </c>
      <c r="D5" s="8" t="inlineStr">
        <is>
          <t>hermes-vps is this; sister's agent (CR-15) will be a second one.</t>
        </is>
      </c>
      <c r="E5" s="8" t="inlineStr">
        <is>
          <t>N/A — in use</t>
        </is>
      </c>
    </row>
    <row r="6">
      <c r="A6" s="8" t="inlineStr">
        <is>
          <t>Managed Database (Postgres, MySQL, Valkey, Kafka)</t>
        </is>
      </c>
      <c r="B6" s="8" t="inlineStr">
        <is>
          <t>Fully-managed DB, $3.50/mo+, pgvector support free.</t>
        </is>
      </c>
      <c r="C6" s="8" t="inlineStr">
        <is>
          <t>Yes — high priority</t>
        </is>
      </c>
      <c r="D6" s="8" t="inlineStr">
        <is>
          <t>Direct fix for SV-15 (catalog/vault migration off fileserver) and a possible shared store for Hindsight (IM-05).</t>
        </is>
      </c>
      <c r="E6" s="8" t="inlineStr">
        <is>
          <t>High — tracked as SV-15</t>
        </is>
      </c>
    </row>
    <row r="7">
      <c r="A7" s="8" t="inlineStr">
        <is>
          <t>Serverless Inference</t>
        </is>
      </c>
      <c r="B7" s="8" t="inlineStr">
        <is>
          <t>Pay-per-token hosted LLMs, pre-configured on hermes-vps already.</t>
        </is>
      </c>
      <c r="C7" s="8" t="inlineStr">
        <is>
          <t>Already using (idle)</t>
        </is>
      </c>
      <c r="D7" s="8" t="inlineStr">
        <is>
          <t>Real fallback tier between free-local and paid-Codex — priced out this session.</t>
        </is>
      </c>
      <c r="E7" s="8" t="inlineStr">
        <is>
          <t>Medium — reactivate as a fallback</t>
        </is>
      </c>
    </row>
    <row r="8">
      <c r="A8" s="8" t="inlineStr">
        <is>
          <t>Object Storage (S3-compatible)</t>
        </is>
      </c>
      <c r="B8" s="8" t="inlineStr">
        <is>
          <t>Cheap unstructured storage, multiple tiers.</t>
        </is>
      </c>
      <c r="C8" s="8" t="inlineStr">
        <is>
          <t>Yes</t>
        </is>
      </c>
      <c r="D8" s="8" t="inlineStr">
        <is>
          <t>Natural backup destination for BD-02/BD-06.</t>
        </is>
      </c>
      <c r="E8" s="8" t="inlineStr">
        <is>
          <t>Medium</t>
        </is>
      </c>
    </row>
    <row r="9">
      <c r="A9" s="8" t="inlineStr">
        <is>
          <t>Cloud Firewall</t>
        </is>
      </c>
      <c r="B9" s="8" t="inlineStr">
        <is>
          <t>Managed network-level firewall, separate from the VPS's own ufw.</t>
        </is>
      </c>
      <c r="C9" s="8" t="inlineStr">
        <is>
          <t>Yes</t>
        </is>
      </c>
      <c r="D9" s="8" t="inlineStr">
        <is>
          <t>Could close HN-05/SH-02 (gateway shell exposure) at the network layer, not just the app config layer — a second line of defense.</t>
        </is>
      </c>
      <c r="E9" s="8" t="inlineStr">
        <is>
          <t>High — security-relevant</t>
        </is>
      </c>
    </row>
    <row r="10">
      <c r="A10" s="8" t="inlineStr">
        <is>
          <t>VPC (private networking)</t>
        </is>
      </c>
      <c r="B10" s="8" t="inlineStr">
        <is>
          <t>Private network between your Vultr instances, no public IP needed between them.</t>
        </is>
      </c>
      <c r="C10" s="8" t="inlineStr">
        <is>
          <t>Yes, once there's &gt;1 instance</t>
        </is>
      </c>
      <c r="D10" s="8" t="inlineStr">
        <is>
          <t>Once sister's VPS (CR-15) and/or a Managed Database (SV-15) exist, VPC lets them talk to hermes-vps privately instead of over the public internet.</t>
        </is>
      </c>
      <c r="E10" s="8" t="inlineStr">
        <is>
          <t>Medium — do alongside SV-15/CR-15</t>
        </is>
      </c>
    </row>
    <row r="11">
      <c r="A11" s="8" t="inlineStr">
        <is>
          <t>Block Storage</t>
        </is>
      </c>
      <c r="B11" s="8" t="inlineStr">
        <is>
          <t>Expandable disk volumes you attach to a VPS.</t>
        </is>
      </c>
      <c r="C11" s="8" t="inlineStr">
        <is>
          <t>Maybe</t>
        </is>
      </c>
      <c r="D11" s="8" t="inlineStr">
        <is>
          <t>hermes-vps's 100GB NVMe could get tight once memory providers/skills accumulate data; not urgent yet.</t>
        </is>
      </c>
      <c r="E11" s="8" t="inlineStr">
        <is>
          <t>Low — watch CR-12 (resource headroom)</t>
        </is>
      </c>
    </row>
    <row r="12">
      <c r="A12" s="8" t="inlineStr">
        <is>
          <t>Cloud GPU / Bare Metal (GPU options)</t>
        </is>
      </c>
      <c r="B12" s="8" t="inlineStr">
        <is>
          <t>On-demand or dedicated GPU instances.</t>
        </is>
      </c>
      <c r="C12" s="8" t="inlineStr">
        <is>
          <t>Worth knowing, not recommended now</t>
        </is>
      </c>
      <c r="D12" s="8" t="inlineStr">
        <is>
          <t>Could theoretically host the local model on Vultr instead of w_workstation, which would fully remove the WireGuard-down dependency (MR-05) — but at real GPU-instance cost, undercutting the whole 'free local inference' point of using owned hardware.</t>
        </is>
      </c>
      <c r="E12" s="8" t="inlineStr">
        <is>
          <t>Low — only if the home-GPU approach is abandoned later</t>
        </is>
      </c>
    </row>
    <row r="13">
      <c r="A13" s="8" t="inlineStr">
        <is>
          <t>Kubernetes (VKE)</t>
        </is>
      </c>
      <c r="B13" s="8" t="inlineStr">
        <is>
          <t>Managed container orchestration, free control plane.</t>
        </is>
      </c>
      <c r="C13" s="8" t="inlineStr">
        <is>
          <t>No</t>
        </is>
      </c>
      <c r="D13" s="8" t="inlineStr">
        <is>
          <t>Overkill for one VPS running one agent; relevant only if Hermes sprawls into many containerized services.</t>
        </is>
      </c>
      <c r="E13" s="8" t="inlineStr">
        <is>
          <t>Not now</t>
        </is>
      </c>
    </row>
    <row r="14">
      <c r="A14" s="8" t="inlineStr">
        <is>
          <t>Container Registry</t>
        </is>
      </c>
      <c r="B14" s="8" t="inlineStr">
        <is>
          <t>Stores container images Hermes/Dokploy might build.</t>
        </is>
      </c>
      <c r="C14" s="8" t="inlineStr">
        <is>
          <t>Already tracked (TM-07 area)</t>
        </is>
      </c>
      <c r="D14" s="8" t="inlineStr">
        <is>
          <t>Free tier (10GB) covers this until custom images become a real need.</t>
        </is>
      </c>
      <c r="E14" s="8" t="inlineStr">
        <is>
          <t>Low</t>
        </is>
      </c>
    </row>
    <row r="15">
      <c r="A15" s="8" t="inlineStr">
        <is>
          <t>CDN</t>
        </is>
      </c>
      <c r="B15" s="8" t="inlineStr">
        <is>
          <t>Edge caching for static assets.</t>
        </is>
      </c>
      <c r="C15" s="8" t="inlineStr">
        <is>
          <t>Minor</t>
        </is>
      </c>
      <c r="D15" s="8" t="inlineStr">
        <is>
          <t>Only relevant once CR-08 (Hermes-hosted web presence) exists and has real traffic.</t>
        </is>
      </c>
      <c r="E15" s="8" t="inlineStr">
        <is>
          <t>Low — revisit after CR-08</t>
        </is>
      </c>
    </row>
    <row r="16">
      <c r="A16" s="8" t="inlineStr">
        <is>
          <t>DNS</t>
        </is>
      </c>
      <c r="B16" s="8" t="inlineStr">
        <is>
          <t>Vultr's own DNS hosting.</t>
        </is>
      </c>
      <c r="C16" s="8" t="inlineStr">
        <is>
          <t>Optional</t>
        </is>
      </c>
      <c r="D16" s="8" t="inlineStr">
        <is>
          <t>DuckDNS already works for the existing domain; moving DNS to Vultr is a 'prefer Vultr' nice-to-have, not a need.</t>
        </is>
      </c>
      <c r="E16" s="8" t="inlineStr">
        <is>
          <t>Low</t>
        </is>
      </c>
    </row>
    <row r="17">
      <c r="A17" s="8" t="inlineStr">
        <is>
          <t>Marketplace one-click apps</t>
        </is>
      </c>
      <c r="B17" s="8" t="inlineStr">
        <is>
          <t>Pre-built app images (Easypanel, CloudPanel, WireGuard, etc.)</t>
        </is>
      </c>
      <c r="C17" s="8" t="inlineStr">
        <is>
          <t>No</t>
        </is>
      </c>
      <c r="D17" s="8" t="inlineStr">
        <is>
          <t>Dokploy already covers the container-hosting role; the WireGuard app doesn't apply since the tunnel's home-side endpoint must stay physically at home by definition.</t>
        </is>
      </c>
      <c r="E17" s="8" t="inlineStr">
        <is>
          <t>Not applicable</t>
        </is>
      </c>
    </row>
    <row r="18">
      <c r="A18" s="8" t="inlineStr">
        <is>
          <t>Load Balancers / NAT Gateway / Direct Connect</t>
        </is>
      </c>
      <c r="B18" s="8" t="inlineStr">
        <is>
          <t>HA traffic distribution, private hybrid-cloud links.</t>
        </is>
      </c>
      <c r="C18" s="8" t="inlineStr">
        <is>
          <t>No</t>
        </is>
      </c>
      <c r="D18" s="8" t="inlineStr">
        <is>
          <t>Enterprise/multi-instance-at-scale features; nothing here operates at that scale.</t>
        </is>
      </c>
      <c r="E18" s="8" t="inlineStr">
        <is>
          <t>Not applicable</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8A5A2E"/>
    <outlinePr summaryBelow="1" summaryRight="1"/>
    <pageSetUpPr/>
  </sheetPr>
  <dimension ref="A1:E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4" customWidth="1" min="2" max="2"/>
    <col width="46" customWidth="1" min="3" max="3"/>
    <col width="50" customWidth="1" min="4" max="4"/>
    <col width="20" customWidth="1" min="5" max="5"/>
  </cols>
  <sheetData>
    <row r="1" ht="22" customHeight="1">
      <c r="A1" s="6" t="inlineStr">
        <is>
          <t>Discovery — Providers Still Unchosen, and Dependencies of What's Locked</t>
        </is>
      </c>
    </row>
    <row r="2" ht="16" customHeight="1">
      <c r="A2" s="2" t="inlineStr">
        <is>
          <t>Researched 2026-10-04. Two things in one tab: (1) provider categories found that have zero decision yet, (2) the real install/setup dependencies behind the five providers already locked in. Reference material — not a tracked backlog.</t>
        </is>
      </c>
    </row>
    <row r="4">
      <c r="A4" s="7" t="inlineStr">
        <is>
          <t>Topic</t>
        </is>
      </c>
      <c r="B4" s="7" t="inlineStr">
        <is>
          <t>What it is</t>
        </is>
      </c>
      <c r="C4" s="7" t="inlineStr">
        <is>
          <t>Options found</t>
        </is>
      </c>
      <c r="D4" s="7" t="inlineStr">
        <is>
          <t>Recommendation / dependency detail</t>
        </is>
      </c>
      <c r="E4" s="7" t="inlineStr">
        <is>
          <t>Status</t>
        </is>
      </c>
    </row>
    <row r="5">
      <c r="A5" s="8" t="inlineStr">
        <is>
          <t>STT (speech-to-text)</t>
        </is>
      </c>
      <c r="B5" s="8" t="inlineStr">
        <is>
          <t>Separate from TTS — converts your voice input to text. Not yet chosen.</t>
        </is>
      </c>
      <c r="C5" s="8" t="inlineStr">
        <is>
          <t>local/faster-whisper (free, on-box), groq (fast cloud), openai, mistral, xai, elevenlabs, telnyx, deepinfra</t>
        </is>
      </c>
      <c r="D5" s="8" t="inlineStr">
        <is>
          <t>Recommend local/faster-whisper — free, matches every other 'self-hosted preferred' choice made this session, no new credential needed.</t>
        </is>
      </c>
      <c r="E5" s="8" t="inlineStr">
        <is>
          <t>Not chosen — not yet asked about</t>
        </is>
      </c>
    </row>
    <row r="6">
      <c r="A6" s="8" t="inlineStr">
        <is>
          <t>Image generation</t>
        </is>
      </c>
      <c r="B6" s="8" t="inlineStr">
        <is>
          <t>Routed through FAL.ai regardless of which model — not self-hostable.</t>
        </is>
      </c>
      <c r="C6" s="8" t="inlineStr">
        <is>
          <t>FLUX 2 Klein/Pro, GPT-Image 1.5/2, Nano Banana Pro, Ideogram V3, Recraft V4 Pro, Qwen, Z-Image Turbo, Krea V2</t>
        </is>
      </c>
      <c r="D6" s="8" t="inlineStr">
        <is>
          <t>No free/local option exists for this one, unlike everything else — only relevant if image generation is actually wanted. Needs its own cost conversation if so.</t>
        </is>
      </c>
      <c r="E6" s="8" t="inlineStr">
        <is>
          <t>Not chosen — not yet asked about</t>
        </is>
      </c>
    </row>
    <row r="7">
      <c r="A7" s="8" t="inlineStr">
        <is>
          <t>Browser automation backend</t>
        </is>
      </c>
      <c r="B7" s="8" t="inlineStr">
        <is>
          <t>What drives Hermes's browser-use tool capability (TM-07).</t>
        </is>
      </c>
      <c r="C7" s="8" t="inlineStr">
        <is>
          <t>Browserbase (cloud), Browser Use (cloud), local Chrome/Brave/Chromium/Edge via CDP, Camofox (local, anti-detection)</t>
        </is>
      </c>
      <c r="D7" s="8" t="inlineStr">
        <is>
          <t>Local CDP (e.g. local Chrome) is the free/self-hosted-matching option. Cloud options exist if local browsing proves unreliable.</t>
        </is>
      </c>
      <c r="E7" s="8" t="inlineStr">
        <is>
          <t>Not chosen — not yet asked about</t>
        </is>
      </c>
    </row>
    <row r="8">
      <c r="A8" s="8" t="inlineStr">
        <is>
          <t>Embedding provider</t>
        </is>
      </c>
      <c r="B8" s="8" t="inlineStr">
        <is>
          <t>Powers RAG/semantic search — resolves the catalog's long-idle search_similar RPC (mentioned since the original 2026-09-25 local-model plan, nomic-embed-text).</t>
        </is>
      </c>
      <c r="C8" s="8" t="inlineStr">
        <is>
          <t>local/fastembed (e.g. all-MiniLM-L6-v2, free), openai, ollama</t>
        </is>
      </c>
      <c r="D8" s="8" t="inlineStr">
        <is>
          <t>Recommend local/fastembed — same reasoning as STT. This is also what would let Hindsight (IM-05) or the catalog do real semantic recall instead of exact-match search.</t>
        </is>
      </c>
      <c r="E8" s="8" t="inlineStr">
        <is>
          <t>Not chosen — not yet asked about</t>
        </is>
      </c>
    </row>
    <row r="9">
      <c r="A9" s="8" t="inlineStr">
        <is>
          <t>DEPENDENCY: ik_llama.cpp (LI-03) on Windows</t>
        </is>
      </c>
      <c r="B9" s="8" t="inlineStr">
        <is>
          <t>Build requirements for the locked-in runtime.</t>
        </is>
      </c>
      <c r="C9" s="8" t="inlineStr">
        <is>
          <t>cmake, C++17 compiler, CUDA 12.6 Toolkit, Visual Studio Build Tools 2022</t>
        </is>
      </c>
      <c r="D9" s="8" t="inlineStr">
        <is>
          <t>Env vars needed: VS_DIR, LLVM_DIR, CUDA_DIR (pointing at the CUDA 12.6 install path). Official build docs: github.com/ikawrakow/ik_llama.cpp/blob/main/docs/build.md</t>
        </is>
      </c>
      <c r="E9" s="8" t="inlineStr">
        <is>
          <t>Known, not yet done</t>
        </is>
      </c>
    </row>
    <row r="10">
      <c r="A10" s="8" t="inlineStr">
        <is>
          <t>DEPENDENCY: Docker terminal backend (CR-17)</t>
        </is>
      </c>
      <c r="B10" s="8" t="inlineStr">
        <is>
          <t>What the locked-in terminal backend needs.</t>
        </is>
      </c>
      <c r="C10" s="8" t="inlineStr">
        <is>
          <t>Docker — already installed on hermes-vps for Dokploy</t>
        </is>
      </c>
      <c r="D10" s="8" t="inlineStr">
        <is>
          <t>Likely just a config.yaml change (terminal.backend: docker) plus picking a base image; no new install expected.</t>
        </is>
      </c>
      <c r="E10" s="8" t="inlineStr">
        <is>
          <t>Likely low-effort, unconfirmed</t>
        </is>
      </c>
    </row>
    <row r="11">
      <c r="A11" s="8" t="inlineStr">
        <is>
          <t>DEPENDENCY: Telegram gateway (IA-05)</t>
        </is>
      </c>
      <c r="B11" s="8" t="inlineStr">
        <is>
          <t>What the locked-in messaging channel needs.</t>
        </is>
      </c>
      <c r="C11" s="8" t="inlineStr">
        <is>
          <t>A BotFather-issued bot token; your own numeric Telegram user ID</t>
        </is>
      </c>
      <c r="D11" s="8" t="inlineStr">
        <is>
          <t>5 steps: message @BotFather, /newbot, name it, copy the token (format 123456789:ABC...), get your user ID from @userinfobot, run hermes gateway setup, paste both, start the gateway. Token is a real credential — vault it, don't leave it in config.yaml plaintext.</t>
        </is>
      </c>
      <c r="E11" s="8" t="inlineStr">
        <is>
          <t>Known, not yet done — new vault-worthy secret</t>
        </is>
      </c>
    </row>
    <row r="12">
      <c r="A12" s="8" t="inlineStr">
        <is>
          <t>DEPENDENCY: Vultr fallback model (MR-13)</t>
        </is>
      </c>
      <c r="B12" s="8" t="inlineStr">
        <is>
          <t>What DeepSeek-V4-Flash needs beyond what exists.</t>
        </is>
      </c>
      <c r="C12" s="8" t="inlineStr">
        <is>
          <t>Already pre-configured/credentialed on hermes-vps</t>
        </is>
      </c>
      <c r="D12" s="8" t="inlineStr">
        <is>
          <t>Just needs an explicit fallback_providers entry in config.yaml — no new install or credential.</t>
        </is>
      </c>
      <c r="E12" s="8" t="inlineStr">
        <is>
          <t>Trivial, not yet done</t>
        </is>
      </c>
    </row>
    <row r="13">
      <c r="A13" s="8" t="inlineStr">
        <is>
          <t>DEPENDENCY: Edge TTS (IA-10)</t>
        </is>
      </c>
      <c r="B13" s="8" t="inlineStr">
        <is>
          <t>What the locked-in TTS default needs.</t>
        </is>
      </c>
      <c r="C13" s="8" t="inlineStr">
        <is>
          <t>None — it's the Hermes default</t>
        </is>
      </c>
      <c r="D13" s="8" t="inlineStr">
        <is>
          <t>May already be active with zero configuration. Worth a quick hermes config show to confirm rather than assuming.</t>
        </is>
      </c>
      <c r="E13" s="8" t="inlineStr">
        <is>
          <t>Likely already satisfied, unconfirmed</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8A5A2E"/>
    <outlinePr summaryBelow="1" summaryRight="1"/>
    <pageSetUpPr/>
  </sheetPr>
  <dimension ref="A1:E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6" customWidth="1" min="2" max="2"/>
    <col width="50" customWidth="1" min="3" max="3"/>
    <col width="54" customWidth="1" min="4" max="4"/>
    <col width="20" customWidth="1" min="5" max="5"/>
  </cols>
  <sheetData>
    <row r="1" ht="22" customHeight="1">
      <c r="A1" s="6" t="inlineStr">
        <is>
          <t>Discovery — Skills System (Five Pillars: Skills)</t>
        </is>
      </c>
    </row>
    <row r="2" ht="16" customHeight="1">
      <c r="A2" s="2" t="inlineStr">
        <is>
          <t>Researched 2026-10-04. How hermes-agent's Skills pillar actually works: what a skill is, how it's stored/loaded, bundled vs optional, self-authored creation, security scanning. Reference material — not a tracked backlog. Sources: hermes-agent.nousresearch.com/docs (user-guide/features/skills, guides/work-with-skills, reference/skills-catalog, reference/optional-skills-catalog).</t>
        </is>
      </c>
    </row>
    <row r="4">
      <c r="A4" s="7" t="inlineStr">
        <is>
          <t>Topic</t>
        </is>
      </c>
      <c r="B4" s="7" t="inlineStr">
        <is>
          <t>What it is</t>
        </is>
      </c>
      <c r="C4" s="7" t="inlineStr">
        <is>
          <t>Options found</t>
        </is>
      </c>
      <c r="D4" s="7" t="inlineStr">
        <is>
          <t>Recommendation / dependency detail</t>
        </is>
      </c>
      <c r="E4" s="7" t="inlineStr">
        <is>
          <t>Status</t>
        </is>
      </c>
    </row>
    <row r="5">
      <c r="A5" s="8" t="inlineStr">
        <is>
          <t>What a skill is</t>
        </is>
      </c>
      <c r="B5" s="8" t="inlineStr">
        <is>
          <t>An on-demand knowledge document the agent loads when needed — procedural memory for recurring tasks, not a one-off prompt.</t>
        </is>
      </c>
      <c r="C5" s="8" t="inlineStr">
        <is>
          <t>SKILL.md with YAML frontmatter (name, description, version, metadata.hermes: tags/category/platforms/requires_toolsets/config) + body sections (When to Use, Procedure, Pitfalls, Verification). Compatible with the open agentskills.io standard.</t>
        </is>
      </c>
      <c r="D5" s="8" t="inlineStr">
        <is>
          <t>Distinct from the Tool/MCP layer (TM-07's Tool Gateway = built-in capabilities like web search/TTS/browser automation). Skills are learned procedures layered on top of whatever tools exist — don't conflate the two rows.</t>
        </is>
      </c>
      <c r="E5" s="8" t="inlineStr">
        <is>
          <t>Understood, not yet used</t>
        </is>
      </c>
    </row>
    <row r="6">
      <c r="A6" s="8" t="inlineStr">
        <is>
          <t>Storage &amp; directory structure</t>
        </is>
      </c>
      <c r="B6" s="8" t="inlineStr">
        <is>
          <t>Where skills physically live on hermes-vps.</t>
        </is>
      </c>
      <c r="C6" s="8" t="inlineStr">
        <is>
          <t>~/.hermes/skills/&lt;category&gt;/&lt;skill-name&gt;/ containing SKILL.md (required) plus optional references/, templates/, scripts/, examples/, assets/ subfolders.</t>
        </is>
      </c>
      <c r="D6" s="8" t="inlineStr">
        <is>
          <t>Primary source of truth is the filesystem, not a database — matches the 'everything on the VPS, self-sufficient' architecture rule already set for this project.</t>
        </is>
      </c>
      <c r="E6" s="8" t="inlineStr">
        <is>
          <t>Understood, not yet used</t>
        </is>
      </c>
    </row>
    <row r="7">
      <c r="A7" s="8" t="inlineStr">
        <is>
          <t>Discovery &amp; invocation</t>
        </is>
      </c>
      <c r="B7" s="8" t="inlineStr">
        <is>
          <t>How the agent finds and loads a skill without burning context on all of them upfront.</t>
        </is>
      </c>
      <c r="C7" s="8" t="inlineStr">
        <is>
          <t>3-level progressive disclosure: skills_list() (~3k tokens, metadata only) -&gt; skill_view(name) (full SKILL.md) -&gt; skill_view(name, path) (one reference file). Invoked via /skill-name slash commands (stackable: /skill1 /skill2 instruction), or picked up from natural conversation.</t>
        </is>
      </c>
      <c r="D7" s="8" t="inlineStr">
        <is>
          <t>Token-cheap by design — matches the economic-router priority already set for this project (LLM-as-judge router logged 2026-10-03).</t>
        </is>
      </c>
      <c r="E7" s="8" t="inlineStr">
        <is>
          <t>Understood, not yet used</t>
        </is>
      </c>
    </row>
    <row r="8">
      <c r="A8" s="8" t="inlineStr">
        <is>
          <t>Bundled vs optional skills</t>
        </is>
      </c>
      <c r="B8" s="8" t="inlineStr">
        <is>
          <t>Counted directly against the live NousResearch/hermes-agent source tree (GitHub API, 2026-10-05) after an earlier pass here cited a wrong '166 (87+79)' figure from a secondary blog summary.</t>
        </is>
      </c>
      <c r="C8" s="8" t="inlineStr">
        <is>
          <t>VERIFIED 2026-10-05 via github.com/NousResearch/hermes-agent: 58 bundled skills across 12 categories (apple, autonomous-ai-agents, creative, devops, email, media, note-taking, productivity, research, social-media, software-development, web) + 145 optional skills across 22 categories (adds blockchain, communication, data-science, dogfood, finance, gaming, health, mcp, migration, mlops, payments, security, smart-home, web-development, yuanbao to the bundled list — the original optional-category list here had missed 11 of these entirely). `hermes skills opt-out` behavior for bundled seeding still unconfirmed from docs alone.</t>
        </is>
      </c>
      <c r="D8" s="8" t="inlineStr">
        <is>
          <t>Counts will keep moving (repo had 48k+ commits, pushed within the last hour at check time) — treat any specific number as a snapshot, not a constant. Re-count with `hermes skills list` once hermes-vps exists rather than trusting this or any future doc/blog figure at face value.</t>
        </is>
      </c>
      <c r="E8" s="8" t="inlineStr">
        <is>
          <t>Corrected against primary source 2026-10-05 — counts were wrong, categories now complete</t>
        </is>
      </c>
    </row>
    <row r="9">
      <c r="A9" s="8" t="inlineStr">
        <is>
          <t>Self-authored skill creation</t>
        </is>
      </c>
      <c r="B9" s="8" t="inlineStr">
        <is>
          <t>How the agent writes its *own* new skills during use — the actual 'self-improvement via skills' loop.</t>
        </is>
      </c>
      <c r="C9" s="8" t="inlineStr">
        <is>
          <t>Agent calls skill_manage(action=create/patch/patch-with-content/delete/write_file/remove_file). Docs describe it recording a new reusable skill after completing a complex task (~5+ tool calls) with zero human authoring. Writes can be gated: `skills.write_approval: true` stages them under ~/.hermes/pending/skills/ for human review instead of applying immediately.</t>
        </is>
      </c>
      <c r="D9" s="8" t="inlineStr">
        <is>
          <t>Recommend `write_approval: true` at least initially — same 'review before trust' posture already applied to the unofficial Obscura plugin. Revisit once the agent's judgment on what's worth turning into a skill has a track record.</t>
        </is>
      </c>
      <c r="E9" s="8" t="inlineStr">
        <is>
          <t>Not yet configured</t>
        </is>
      </c>
    </row>
    <row r="10">
      <c r="A10" s="8" t="inlineStr">
        <is>
          <t>Security &amp; sandboxing</t>
        </is>
      </c>
      <c r="B10" s="8" t="inlineStr">
        <is>
          <t>What stops an installed or self-written skill from doing something malicious.</t>
        </is>
      </c>
      <c r="C10" s="8" t="inlineStr">
        <is>
          <t>Hub-installed skills get scanned for data exfiltration, prompt injection, destructive commands, and supply-chain signals; an optional NVIDIA SkillEvaluator Tier-1 scan adds PII detection. Project-local skills (.hermes/skills/ inside a git repo) get the same scanner before entering the index, with dangerous findings quarantined. Skills can declare required_environment_variables, which Hermes requests and passes through to execute_code/terminal sandboxes automatically.</t>
        </is>
      </c>
      <c r="D10" s="8" t="inlineStr">
        <is>
          <t>The required_environment_variables mechanism is a second place secrets can leak outside the vault (05_Secrets_Vault) if a skill mishandles them — worth a Security Hardening row once any skill actually declares one.</t>
        </is>
      </c>
      <c r="E10" s="8" t="inlineStr">
        <is>
          <t>Understood, no mitigating row logged yet</t>
        </is>
      </c>
    </row>
    <row r="11">
      <c r="A11" s="8" t="inlineStr">
        <is>
          <t>Bundled categories relevant here</t>
        </is>
      </c>
      <c r="B11" s="8" t="inlineStr">
        <is>
          <t>Which of the 12 bundled categories actually matter for this project's shape.</t>
        </is>
      </c>
      <c r="C11" s="8" t="inlineStr">
        <is>
          <t>Autonomous AI Agents (delegate to Claude Code / Codex / OpenCode, computer automation, Hermes-orchestrates-Hermes), DevOps (lifecycle review, Kanban handoff verification), Productivity (Google Workspace, Office docs, meeting action items), Research (arXiv, competitor monitoring, citation grounding), Email (IMAP/SMTP via Himalaya CLI).</t>
        </is>
      </c>
      <c r="D11" s="8" t="inlineStr">
        <is>
          <t>'Autonomous AI Agents' directly overlaps the Codex-as-thinking-tier routing decision already locked (03_Model_Routing_Resilience) — check this category first once hermes-vps exists, it may already implement part of that routing instead of needing custom work.</t>
        </is>
      </c>
      <c r="E11" s="8" t="inlineStr">
        <is>
          <t>Not yet cross-checked against 03_Model_Routing_Resilience</t>
        </is>
      </c>
    </row>
    <row r="12">
      <c r="A12" s="8" t="inlineStr">
        <is>
          <t>Optional categories relevant here</t>
        </is>
      </c>
      <c r="B12" s="8" t="inlineStr">
        <is>
          <t>Which of the 23 optional categories are worth installing given this project's actual needs.</t>
        </is>
      </c>
      <c r="C12" s="8" t="inlineStr">
        <is>
          <t>smart-home (Philips Hue via OpenHue CLI — only relevant if Hue exists on the home network, unconfirmed), security (1Password, Sherlock account discovery, data-broker removal), devops (Docker container mgmt, SSH tunneling, RSS/JSON API monitoring — overlaps the Docker terminal backend already locked), mcp (build/deploy custom MCP servers, OAuth handling — overlaps the 4 custom MCP servers already in 04_Tool_MCP_Layer), data-science (Jupyter notebook execution). Also present but not yet assessed for relevance: blockchain, communication, data-science (separate from the devops/mcp ones already named), dogfood, finance, gaming, health, migration, payments, web-development, yuanbao — original pass missed these 11 categories entirely (corrected 2026-10-05).</t>
        </is>
      </c>
      <c r="D12" s="8" t="inlineStr">
        <is>
          <t>mcp and devops optional-skill categories are the two with real near-term relevance — they overlap tooling this project is already hand-building (TM-01 through TM-14). Worth checking whether the optional skill replaces hand-rolled work before building more MCP servers manually.</t>
        </is>
      </c>
      <c r="E12" s="8" t="inlineStr">
        <is>
          <t>Candidates identified, none installed — needs explicit go-ahead, this is still discovery</t>
        </is>
      </c>
    </row>
    <row r="13">
      <c r="A13" s="8" t="inlineStr">
        <is>
          <t>Open question for next session</t>
        </is>
      </c>
      <c r="B13" s="8" t="inlineStr">
        <is>
          <t>What this discovery pass did NOT resolve.</t>
        </is>
      </c>
      <c r="C13" s="8" t="inlineStr">
        <is>
          <t>Whether any home-network device (Hue, etc.) actually exists to make smart-home skills relevant; whether bundled skills already cover gaps currently tracked as custom work in 01-15 tabs; exact behavior of hermes skills opt-out (full vs partial).</t>
        </is>
      </c>
      <c r="D13" s="8" t="inlineStr">
        <is>
          <t>Answer by running `hermes skills list` and `hermes skills search &lt;keyword&gt;` directly against hermes-vps once it exists, rather than guessing further from docs alone.</t>
        </is>
      </c>
      <c r="E13" s="8" t="inlineStr">
        <is>
          <t>Open</t>
        </is>
      </c>
    </row>
  </sheetData>
  <mergeCells count="2">
    <mergeCell ref="A2:E2"/>
    <mergeCell ref="A1:E1"/>
  </mergeCells>
  <pageMargins left="0.75" right="0.75" top="1" bottom="1" header="0.5" footer="0.5"/>
</worksheet>
</file>

<file path=xl/worksheets/sheet23.xml><?xml version="1.0" encoding="utf-8"?>
<worksheet xmlns="http://schemas.openxmlformats.org/spreadsheetml/2006/main">
  <sheetPr>
    <tabColor rgb="008A5A2E"/>
    <outlinePr summaryBelow="1" summaryRight="1"/>
    <pageSetUpPr/>
  </sheetPr>
  <dimension ref="A1:E1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6" customWidth="1" min="2" max="2"/>
    <col width="50" customWidth="1" min="3" max="3"/>
    <col width="54" customWidth="1" min="4" max="4"/>
    <col width="20" customWidth="1" min="5" max="5"/>
  </cols>
  <sheetData>
    <row r="1" ht="22" customHeight="1">
      <c r="A1" s="6" t="inlineStr">
        <is>
          <t>Discovery — Crons System (Five Pillars: Crons)</t>
        </is>
      </c>
    </row>
    <row r="2" ht="16" customHeight="1">
      <c r="A2" s="2" t="inlineStr">
        <is>
          <t>Researched 2026-10-05, verified against primary source (github.com/NousResearch/hermes-agent cron/AGENTS.md, cron/scheduler_provider.py, website/docs/user-guide/features/cron.md), not secondary summaries. Scope per explicit user instruction: confirm the SYSTEM CAN schedule work, not design actual cron jobs -- no jobs created, still discovery.</t>
        </is>
      </c>
    </row>
    <row r="4">
      <c r="A4" s="7" t="inlineStr">
        <is>
          <t>Topic</t>
        </is>
      </c>
      <c r="B4" s="7" t="inlineStr">
        <is>
          <t>What it is</t>
        </is>
      </c>
      <c r="C4" s="7" t="inlineStr">
        <is>
          <t>Options found</t>
        </is>
      </c>
      <c r="D4" s="7" t="inlineStr">
        <is>
          <t>Recommendation / dependency detail</t>
        </is>
      </c>
      <c r="E4" s="7" t="inlineStr">
        <is>
          <t>Status</t>
        </is>
      </c>
    </row>
    <row r="5">
      <c r="A5" s="8" t="inlineStr">
        <is>
          <t>What cron is</t>
        </is>
      </c>
      <c r="B5" s="8" t="inlineStr">
        <is>
          <t>Hermes's built-in scheduler -- the pillar answering 'can it work without being summoned.'</t>
        </is>
      </c>
      <c r="C5" s="8" t="inlineStr">
        <is>
          <t>cron/jobs.py (job store) + cron/scheduler.py (tick loop) + scheduler_*.py siblings. Users: `hermes cron &lt;verb&gt;` or `/cron`. Agents: the `cronjob` tool. A genuinely mature subsystem -- the internal dev notes (cron/AGENTS.md) cite specific hardening fixes by bug number (#107485, #114587, #122222), not a thin wrapper.</t>
        </is>
      </c>
      <c r="D5" s="8" t="inlineStr">
        <is>
          <t>Treat as production-grade, not experimental -- the only EXPERIMENTAL-labeled piece is the pluggable external-provider interface (scheduler_provider.py), not the builtin scheduler itself.</t>
        </is>
      </c>
      <c r="E5" s="8" t="inlineStr">
        <is>
          <t>Verified real</t>
        </is>
      </c>
    </row>
    <row r="6">
      <c r="A6" s="8" t="inlineStr">
        <is>
          <t>Hard prerequisite: persistent gateway</t>
        </is>
      </c>
      <c r="B6" s="8" t="inlineStr">
        <is>
          <t>Cron jobs are ticked by a loop that runs INSIDE the gateway process -- no gateway process running means no cron ever fires.</t>
        </is>
      </c>
      <c r="C6" s="8" t="inlineStr">
        <is>
          <t>`hermes gateway install` (user service) / `sudo hermes gateway install --system` (boot-time) / `hermes gateway` (foreground). The ticker is a SupervisedTickerThread started on gateway boot. One host gateway process ticks EVERY served profile's store -- relevant if CR-15 (sister's separate Hermes) ever shares infra.</t>
        </is>
      </c>
      <c r="D6" s="8" t="inlineStr">
        <is>
          <t>ALREADY SATISFIED on hermes-vps -- cross-ref 01_Core_Runtime CR-03 'hermes-gateway running persistently', status Done, evidence hermes-gateway.service (systemd). This is the one thing this pillar actually needed built, and it already is.</t>
        </is>
      </c>
      <c r="E6" s="8" t="inlineStr">
        <is>
          <t>Done (via CR-03) -- confirmed, not re-tracked here</t>
        </is>
      </c>
    </row>
    <row r="7">
      <c r="A7" s="8" t="inlineStr">
        <is>
          <t>Schedule formats</t>
        </is>
      </c>
      <c r="B7" s="8" t="inlineStr">
        <is>
          <t>What a job's timing can be expressed as.</t>
        </is>
      </c>
      <c r="C7" s="8" t="inlineStr">
        <is>
          <t>Relative one-shot (`in 30m`, `in 2h`, `in 1d`); recurring interval (`every 30m`, `every 2h`); natural recurring (`every monday 9am`, `weekdays at 9am`, `daily at 7am`); 5-field cron expressions (`0 9 * * *`); ISO one-shot timestamps.</t>
        </is>
      </c>
      <c r="D7" s="8" t="inlineStr">
        <is>
          <t>No decision needed here -- this is a format reference for whenever a real job gets created, not a choice to lock in now.</t>
        </is>
      </c>
      <c r="E7" s="8" t="inlineStr">
        <is>
          <t>Understood, not used</t>
        </is>
      </c>
    </row>
    <row r="8">
      <c r="A8" s="8" t="inlineStr">
        <is>
          <t>Per-job capabilities</t>
        </is>
      </c>
      <c r="B8" s="8" t="inlineStr">
        <is>
          <t>What a single cron job definition can actually do, beyond 'run a prompt on a timer.'</t>
        </is>
      </c>
      <c r="C8" s="8" t="inlineStr">
        <is>
          <t>Fields: `skills` (attach specific skills to the run), `model`/`provider` override, `script` (pre-run data-collection script piped into the prompt), `--no-agent` (script output delivered verbatim, skips the LLM entirely -- a watchdog pattern), `context_from` (chain job A's last output into job B's prompt), `workdir` (loads that directory's AGENTS.md/CLAUDE.md), multi-platform delivery targets.</t>
        </is>
      </c>
      <c r="D8" s="8" t="inlineStr">
        <is>
          <t>The --no-agent script-only mode is the right fit for cheap health-check-style jobs (e.g. monitoring hermes-vps resource headroom, CR-12) once that's wanted -- no LLM cost, verbatim script stdout delivered only when non-empty.</t>
        </is>
      </c>
      <c r="E8" s="8" t="inlineStr">
        <is>
          <t>Understood, not used</t>
        </is>
      </c>
    </row>
    <row r="9">
      <c r="A9" s="8" t="inlineStr">
        <is>
          <t>Delivery</t>
        </is>
      </c>
      <c r="B9" s="8" t="inlineStr">
        <is>
          <t>Where a job's output actually goes once it runs.</t>
        </is>
      </c>
      <c r="C9" s="8" t="inlineStr">
        <is>
          <t>`origin` (back to the creating chat, platform default), `local` (~/.hermes/cron/output/, CLI default), `telegram`/`telegram:&lt;chat_id&gt;`, `discord`, `slack`, `email`, `sms`, `all` (every connected home channel), comma-separated multiple targets, `bot-chat`.</t>
        </is>
      </c>
      <c r="D9" s="8" t="inlineStr">
        <is>
          <t>Telegram delivery directly reuses the IA-05 gateway decision already locked -- no new dependency once that bot token exists.</t>
        </is>
      </c>
      <c r="E9" s="8" t="inlineStr">
        <is>
          <t>Understood, not used</t>
        </is>
      </c>
    </row>
    <row r="10">
      <c r="A10" s="8" t="inlineStr">
        <is>
          <t>Config keys</t>
        </is>
      </c>
      <c r="B10" s="8" t="inlineStr">
        <is>
          <t>What config.yaml controls for the whole cron subsystem.</t>
        </is>
      </c>
      <c r="C10" s="8" t="inlineStr">
        <is>
          <t>`cron.model`/`model_provider` (default for unpinned jobs), `preflight` (validate before run), `wrap_response`, `catch_up_missed` (re-run once on restart if a fire was missed), `failure_nudge_threshold`, `retry_unreachable` (auto-retry transient network errors at 5/15/30min), `failure_repeat_alert_hours`, `allow_agent_scheduling` (default false -- cron-run sessions cannot recursively create more cron jobs unless this is on), `max_parallel_jobs` (default 10), `script_timeout_seconds` (default 3600), `cron.provider` (external scheduler override, defaults to builtin).</t>
        </is>
      </c>
      <c r="D10" s="8" t="inlineStr">
        <is>
          <t>`allow_agent_scheduling: false` (the default) is the right posture to keep -- matches the same 'review before autonomy' stance already applied to skill write_approval and the Obscura plugin.</t>
        </is>
      </c>
      <c r="E10" s="8" t="inlineStr">
        <is>
          <t>Understood, not configured</t>
        </is>
      </c>
    </row>
    <row r="11">
      <c r="A11" s="8" t="inlineStr">
        <is>
          <t>Storage</t>
        </is>
      </c>
      <c r="B11" s="8" t="inlineStr">
        <is>
          <t>Where cron state physically lives.</t>
        </is>
      </c>
      <c r="C11" s="8" t="inlineStr">
        <is>
          <t>Job definitions: ~/.hermes/cron/jobs.json. Run outputs: ~/.hermes/cron/output/{job_id}/{timestamp}.md. Execution history: ~/.hermes/cron/executions.db.</t>
        </is>
      </c>
      <c r="D11" s="8" t="inlineStr">
        <is>
          <t>All on-box, no external dependency -- consistent with the hermes-vps self-sufficiency rule.</t>
        </is>
      </c>
      <c r="E11" s="8" t="inlineStr">
        <is>
          <t>Understood, not used</t>
        </is>
      </c>
    </row>
    <row r="12">
      <c r="A12" s="8" t="inlineStr">
        <is>
          <t>Hardening (why this isn't a toy scheduler)</t>
        </is>
      </c>
      <c r="B12" s="8" t="inlineStr">
        <is>
          <t>Failure modes the system already guards against, per cron/AGENTS.md.</t>
        </is>
      </c>
      <c r="C12" s="8" t="inlineStr">
        <is>
          <t>Inactivity watchdog on cron sessions (default 600s idle via HERMES_CRON_TIMEOUT, separate from script_timeout_seconds); catch-up window for missed one-shots (120s grace); per-home tick lock file prevents duplicate ticks across processes; restart-safe external worker processes under systemd; at-most-once accounting across a mid-run crash (next_run_at advances before dispatch).</t>
        </is>
      </c>
      <c r="D12" s="8" t="inlineStr">
        <is>
          <t>No action needed -- flagging so a future session doesn't assume this needs building when it's already handled.</t>
        </is>
      </c>
      <c r="E12" s="8" t="inlineStr">
        <is>
          <t>Verified real, nothing to build</t>
        </is>
      </c>
    </row>
    <row r="13">
      <c r="A13" s="8" t="inlineStr">
        <is>
          <t>Cross-pillar interaction: memory does NOT run during cron</t>
        </is>
      </c>
      <c r="B13" s="8" t="inlineStr">
        <is>
          <t>A real gotcha found while verifying, not mentioned in any secondary source.</t>
        </is>
      </c>
      <c r="C13" s="8" t="inlineStr">
        <is>
          <t>Direct quote, cron/AGENTS.md: 'Cron sessions pass skip_memory=True; memory providers intentionally do not run during cron.'</t>
        </is>
      </c>
      <c r="D13" s="8" t="inlineStr">
        <is>
          <t>Worth a Notes/Next-Action flag on IM-05 (Hindsight) once memory is actually deployed: a cron job's output won't be written to or informed by extended memory unless something explicitly changes that. Not a blocker, just don't assume cron jobs get the same memory context an interactive chat gets.</t>
        </is>
      </c>
      <c r="E13" s="8" t="inlineStr">
        <is>
          <t>Flagged — see 02_Identity_Memory IM-05</t>
        </is>
      </c>
    </row>
    <row r="14">
      <c r="A14" s="8" t="inlineStr">
        <is>
          <t>Adjacent but out of scope: Kanban</t>
        </is>
      </c>
      <c r="B14" s="8" t="inlineStr">
        <is>
          <t>A related multi-agent work-queue system documented in the same source file as cron, easy to conflate with it.</t>
        </is>
      </c>
      <c r="C14" s="8" t="inlineStr">
        <is>
          <t>SQLite-backed board for multiple profiles/workers to collaborate (hermes kanban &lt;verb&gt;). Separate feature, separate toolset, not part of the Five Pillars.</t>
        </is>
      </c>
      <c r="D14" s="8" t="inlineStr">
        <is>
          <t>Noting its existence only so it isn't mistaken for part of Crons later -- not pursued in this discovery pass.</t>
        </is>
      </c>
      <c r="E14" s="8" t="inlineStr">
        <is>
          <t>Noted, not researched</t>
        </is>
      </c>
    </row>
  </sheetData>
  <mergeCells count="2">
    <mergeCell ref="A2:E2"/>
    <mergeCell ref="A1:E1"/>
  </mergeCells>
  <pageMargins left="0.75" right="0.75" top="1" bottom="1" header="0.5" footer="0.5"/>
</worksheet>
</file>

<file path=xl/worksheets/sheet24.xml><?xml version="1.0" encoding="utf-8"?>
<worksheet xmlns="http://schemas.openxmlformats.org/spreadsheetml/2006/main">
  <sheetPr>
    <tabColor rgb="008A5A2E"/>
    <outlinePr summaryBelow="1" summaryRight="1"/>
    <pageSetUpPr/>
  </sheetPr>
  <dimension ref="A1:E1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6" customWidth="1" min="2" max="2"/>
    <col width="50" customWidth="1" min="3" max="3"/>
    <col width="54" customWidth="1" min="4" max="4"/>
    <col width="20" customWidth="1" min="5" max="5"/>
  </cols>
  <sheetData>
    <row r="1" ht="22" customHeight="1">
      <c r="A1" s="6" t="inlineStr">
        <is>
          <t>Discovery — Self-Improvement System (Five Pillars: Self-Improvement)</t>
        </is>
      </c>
    </row>
    <row r="2" ht="16" customHeight="1">
      <c r="A2" s="2" t="inlineStr">
        <is>
          <t>Researched 2026-10-05, verified against primary source (github.com/NousResearch/hermes-agent agent/background_review.py, agent/curator.py, agent/AGENTS.md, skills/AGENTS.md, and the official memory.md / curator.md docs) before writing anything here. Last of the Five Pillars -- none of Memory/Soul/Skills/Crons/Self-Improvement remain unresearched after this tab.</t>
        </is>
      </c>
    </row>
    <row r="4">
      <c r="A4" s="7" t="inlineStr">
        <is>
          <t>Topic</t>
        </is>
      </c>
      <c r="B4" s="7" t="inlineStr">
        <is>
          <t>What it is</t>
        </is>
      </c>
      <c r="C4" s="7" t="inlineStr">
        <is>
          <t>Options found</t>
        </is>
      </c>
      <c r="D4" s="7" t="inlineStr">
        <is>
          <t>Recommendation / dependency detail</t>
        </is>
      </c>
      <c r="E4" s="7" t="inlineStr">
        <is>
          <t>Status</t>
        </is>
      </c>
    </row>
    <row r="5">
      <c r="A5" s="8" t="inlineStr">
        <is>
          <t>What self-improvement actually is</t>
        </is>
      </c>
      <c r="B5" s="8" t="inlineStr">
        <is>
          <t>Not one feature -- three distinct mechanisms working together: a per-turn background review, a skill lifecycle manager (Curator), and free cross-session search.</t>
        </is>
      </c>
      <c r="C5" s="8" t="inlineStr">
        <is>
          <t>agent/background_review.py (+ review_engine.py, review_idle_queue.py), agent/curator.py (+ curator_backup.py), tools/session_search_tool.py. All three confirmed real and substantial in source, not a marketing label over something thin.</t>
        </is>
      </c>
      <c r="D5" s="8" t="inlineStr">
        <is>
          <t>The 'work -&gt; learn -&gt; save to memory/skills -&gt; search past sessions' framing from the earlier session summary is directionally right but understates it -- there's a whole skill-lifecycle subsystem (Curator) that framing didn't mention at all.</t>
        </is>
      </c>
      <c r="E5" s="8" t="inlineStr">
        <is>
          <t>Verified real</t>
        </is>
      </c>
    </row>
    <row r="6">
      <c r="A6" s="8" t="inlineStr">
        <is>
          <t>Background review (the actual learning loop)</t>
        </is>
      </c>
      <c r="B6" s="8" t="inlineStr">
        <is>
          <t>After every conversation turn, Hermes forks itself to ask 'should anything here be saved as a memory or a skill' -- and writes directly if so.</t>
        </is>
      </c>
      <c r="C6" s="8" t="inlineStr">
        <is>
          <t>Direct quote, agent/background_review.py: 'Background memory/skill review — fork the agent to evaluate the turn... asks "should any skill/memory be saved or updated?". Writes go straight to the memory + skill stores; the main conversation and prompt cache are never touched.' Runs as a daemon thread, inherits the parent's live runtime (provider/model/credentials/cached system prompt) so it hits the same prompt-cache prefix, and runs under a restricted tool whitelist.</t>
        </is>
      </c>
      <c r="D6" s="8" t="inlineStr">
        <is>
          <t>This is the mechanism that would actually act on this project's 'memory upkeep is Claude's job, not the user's' ground rule, once ported to Hermes itself -- it's architecturally the same idea (passive capture, not waiting to be asked), already built-in rather than something to design from scratch.</t>
        </is>
      </c>
      <c r="E6" s="8" t="inlineStr">
        <is>
          <t>Verified real</t>
        </is>
      </c>
    </row>
    <row r="7">
      <c r="A7" s="8" t="inlineStr">
        <is>
          <t>Background review: model routing</t>
        </is>
      </c>
      <c r="B7" s="8" t="inlineStr">
        <is>
          <t>Which model does the per-turn review -- doesn't have to be the expensive main model.</t>
        </is>
      </c>
      <c r="C7" s="8" t="inlineStr">
        <is>
          <t>Config: `auxiliary.background_review.provider` / `.model` (e.g. route to a cheaper model like google/gemini-3-flash via openrouter), `.max_input_tokens` (cost cap), `.defer` (e.g. `auto` -- queues the review instead of running it immediately when a local GPU model is busy).</t>
        </is>
      </c>
      <c r="D7" s="8" t="inlineStr">
        <is>
          <t>Directly overlaps the local-model-as-tool-tier / Codex-as-thinking-tier routing decision already made for this project (03_Model_Routing_Resilience) and the economic LLM-as-judge router. Background review is a THIRD consumer of that same routing logic, not a new concept -- check whether it can just plug into the existing router instead of getting separately configured.</t>
        </is>
      </c>
      <c r="E7" s="8" t="inlineStr">
        <is>
          <t>Needs cross-check against 03_Model_Routing_Resilience once hermes-vps exists</t>
        </is>
      </c>
    </row>
    <row r="8">
      <c r="A8" s="8" t="inlineStr">
        <is>
          <t>Background review: approval gating</t>
        </is>
      </c>
      <c r="B8" s="8" t="inlineStr">
        <is>
          <t>Whether a human reviews what gets auto-saved, same question already asked for Skills (write_approval).</t>
        </is>
      </c>
      <c r="C8" s="8" t="inlineStr">
        <is>
          <t>`memory.write_approval` (default false) -- when true, background writes stage via `/memory pending` / `/memory approve` instead of applying directly; foreground (in-conversation) writes prompt inline instead.</t>
        </is>
      </c>
      <c r="D8" s="8" t="inlineStr">
        <is>
          <t>Recommend `write_approval: true` initially -- same 'review before trust' posture already applied to skills.write_approval and the Obscura plugin. This is the memory-side twin of that same decision, should probably be set together, not separately.</t>
        </is>
      </c>
      <c r="E8" s="8" t="inlineStr">
        <is>
          <t>Not yet configured</t>
        </is>
      </c>
    </row>
    <row r="9">
      <c r="A9" s="8" t="inlineStr">
        <is>
          <t>Skill Curator (lifecycle management)</t>
        </is>
      </c>
      <c r="B9" s="8" t="inlineStr">
        <is>
          <t>Background maintenance that keeps self-authored skills from piling up as stale cruft -- the 'does it get better with use, or just bigger' question.</t>
        </is>
      </c>
      <c r="C9" s="8" t="inlineStr">
        <is>
          <t>Deterministic auto-transitions (no LLM cost): active -&gt; stale (14d unused, configurable via `stale_after_days`) -&gt; archived (30d, `archive_after_days`) -&gt; `~/.hermes/skills/.archive/` (restorable, never hard-deleted). Optional LLM consolidation pass (`curator.consolidate`, off by default, token cost) can merge overlapping skills or patch drift. Runs on an inactivity schedule (default 7 days since last run + 2h agent idle, `min_idle_hours`), not on a cron timer. Pre-run tar.gz backups + rollback. CLI: `hermes curator status|run|pause|resume|pin|unpin|archive|restore|prune|backup|rollback`.</t>
        </is>
      </c>
      <c r="D9" s="8" t="inlineStr">
        <is>
          <t>CONFIRMED (source, not docs page): Curator only ever touches skills with `created_by: "agent"` -- bundled and hub-installed skills are permanently off-limits to it, even with `prune_builtins` on for the deterministic walk. This is a real safety boundary worth knowing before assuming Curator could ever 'clean up' something you installed yourself.</t>
        </is>
      </c>
      <c r="E9" s="8" t="inlineStr">
        <is>
          <t>Verified real</t>
        </is>
      </c>
    </row>
    <row r="10">
      <c r="A10" s="8" t="inlineStr">
        <is>
          <t>Cross-session search</t>
        </is>
      </c>
      <c r="B10" s="8" t="inlineStr">
        <is>
          <t>How the agent finds something from a conversation weeks ago without it being in the 2,200-char MEMORY.md snapshot.</t>
        </is>
      </c>
      <c r="C10" s="8" t="inlineStr">
        <is>
          <t>tools/session_search_tool.py queries `~/.hermes/state.db` (SQLite, FTS5 full-text index) across all CLI and messaging sessions. Returns actual past messages, no summarization/truncation, ~20ms, zero LLM cost.</t>
        </is>
      </c>
      <c r="D10" s="8" t="inlineStr">
        <is>
          <t>This plus MEMORY.md are complementary, not redundant: MEMORY.md is the always-loaded curated snapshot (~1,300 tokens/session), session_search is free on-demand lookup for anything NOT curated into that snapshot. Matches the IM-07 retention policy already found (facts persisted aggressively, curation forces a filter) -- session_search is the safety net for what curation leaves out.</t>
        </is>
      </c>
      <c r="E10" s="8" t="inlineStr">
        <is>
          <t>Verified real</t>
        </is>
      </c>
    </row>
    <row r="11">
      <c r="A11" s="8" t="inlineStr">
        <is>
          <t>Learning visibility (Desktop only)</t>
        </is>
      </c>
      <c r="B11" s="8" t="inlineStr">
        <is>
          <t>A way for a human to actually SEE what the agent has learned, not just trust it happened.</t>
        </is>
      </c>
      <c r="C11" s="8" t="inlineStr">
        <is>
          <t>agent/learning_graph.py assembles a graph for the Desktop app: skill nodes (agent-created/used) + MEMORY.md/USER.md chunks as nodes, linked via declared `related_skills` and lexical overlap. Visualization only, not a reasoning mechanism.</t>
        </is>
      </c>
      <c r="D11" s="8" t="inlineStr">
        <is>
          <t>Relevant to 09_Observability ('health signals a human can actually see') once the Desktop interface (08_Interfaces_Access) is in use -- this is a built-in answer to 'how do I know self-improvement is actually doing anything,' not something to build custom.</t>
        </is>
      </c>
      <c r="E11" s="8" t="inlineStr">
        <is>
          <t>Verified real, Desktop-dependent</t>
        </is>
      </c>
    </row>
    <row r="12">
      <c r="A12" s="8" t="inlineStr">
        <is>
          <t>Open question for next session</t>
        </is>
      </c>
      <c r="B12" s="8" t="inlineStr">
        <is>
          <t>What this pass did NOT resolve.</t>
        </is>
      </c>
      <c r="C12" s="8" t="inlineStr">
        <is>
          <t>Whether background_review still fires during a cron-run session (cron confirmed to skip memory PROVIDERS via skip_memory=True, per D4 -- unconfirmed whether the separate background_review/Curator mechanisms are also suppressed, since they write to MEMORY.md/skills directly rather than through a memory provider). Whether memory.write_approval and skills.write_approval need to be set together or are independent toggles in practice.</t>
        </is>
      </c>
      <c r="D12" s="8" t="inlineStr">
        <is>
          <t>Answer by reading agent/review_engine.py's cron-session handling directly, or by testing once hermes-vps exists -- don't assume either way from the docs alone.</t>
        </is>
      </c>
      <c r="E12" s="8" t="inlineStr">
        <is>
          <t>Open</t>
        </is>
      </c>
    </row>
  </sheetData>
  <mergeCells count="2">
    <mergeCell ref="A2:E2"/>
    <mergeCell ref="A1:E1"/>
  </mergeCells>
  <pageMargins left="0.75" right="0.75" top="1" bottom="1" header="0.5" footer="0.5"/>
</worksheet>
</file>

<file path=xl/worksheets/sheet25.xml><?xml version="1.0" encoding="utf-8"?>
<worksheet xmlns="http://schemas.openxmlformats.org/spreadsheetml/2006/main">
  <sheetPr>
    <tabColor rgb="008A5A2E"/>
    <outlinePr summaryBelow="1" summaryRight="1"/>
    <pageSetUpPr/>
  </sheetPr>
  <dimension ref="A1:E2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6" customWidth="1" min="2" max="2"/>
    <col width="54" customWidth="1" min="3" max="3"/>
    <col width="54" customWidth="1" min="4" max="4"/>
    <col width="20" customWidth="1" min="5" max="5"/>
  </cols>
  <sheetData>
    <row r="1" ht="22" customHeight="1">
      <c r="A1" s="6" t="inlineStr">
        <is>
          <t>Discovery — Web Dashboard (every sidebar menu, page by page)</t>
        </is>
      </c>
    </row>
    <row r="2" ht="16" customHeight="1">
      <c r="A2" s="2" t="inlineStr">
        <is>
          <t>Researched 2026-10-05 after the user shared live dashboard screenshots (hermes-vps's own web UI, qwen3-vl:4b-hermes-instruct, 58 skills/14 categories, 4 MCP, v0.21.5 -- matches 01_Core_Runtime exactly). Verified against primary source: website/docs/user-guide/features/web-dashboard.md + credential-vault.md + credential-pools.md + checkpoints-and-rollback.md + profiles.md + messaging/*.md. Cross-references into 01-15 tabs are noted inline; this tab stays the reference copy.</t>
        </is>
      </c>
    </row>
    <row r="4">
      <c r="A4" s="7" t="inlineStr">
        <is>
          <t>Dashboard page</t>
        </is>
      </c>
      <c r="B4" s="7" t="inlineStr">
        <is>
          <t>What it actually does</t>
        </is>
      </c>
      <c r="C4" s="7" t="inlineStr">
        <is>
          <t>Primary-source detail</t>
        </is>
      </c>
      <c r="D4" s="7" t="inlineStr">
        <is>
          <t>Cross-reference / why it matters</t>
        </is>
      </c>
      <c r="E4" s="7" t="inlineStr">
        <is>
          <t>Status</t>
        </is>
      </c>
    </row>
    <row r="5">
      <c r="A5" s="8" t="inlineStr">
        <is>
          <t>Status (landing page)</t>
        </is>
      </c>
      <c r="B5" s="8" t="inlineStr">
        <is>
          <t>Agent version, gateway status, active sessions, recent session summaries, resource-pressure warnings. Auto-refreshes every 5s.</t>
        </is>
      </c>
      <c r="C5" s="8" t="inlineStr">
        <is>
          <t>Confirmed in web-dashboard.md. Matches exactly what the shared screenshot showed (v0.21.5, Gateway Status: Running, 0 active sessions).</t>
        </is>
      </c>
      <c r="D5" s="8" t="inlineStr">
        <is>
          <t>Live-confirms CR-02/CR-03 (01_Core_Runtime) are actually Done, not just believed done.</t>
        </is>
      </c>
      <c r="E5" s="8" t="inlineStr">
        <is>
          <t>Verified, matches live instance</t>
        </is>
      </c>
    </row>
    <row r="6">
      <c r="A6" s="8" t="inlineStr">
        <is>
          <t>Chat</t>
        </is>
      </c>
      <c r="B6" s="8" t="inlineStr">
        <is>
          <t>Full TUI embedded in-browser via WebSocket + PTY -- slash commands, model picker, tool-call visualization, session sidebar, workspace picker. Identical to CLI.</t>
        </is>
      </c>
      <c r="C6" s="8" t="inlineStr">
        <is>
          <t>web-dashboard.md.</t>
        </is>
      </c>
      <c r="D6" s="8" t="inlineStr">
        <is>
          <t>This IS the IA-01/IA-02 'Web UI' row in 08_Interfaces_Access -- already exists and is what the screenshots show, not something still to build.</t>
        </is>
      </c>
      <c r="E6" s="8" t="inlineStr">
        <is>
          <t>Verified, live</t>
        </is>
      </c>
    </row>
    <row r="7">
      <c r="A7" s="8" t="inlineStr">
        <is>
          <t>Config</t>
        </is>
      </c>
      <c r="B7" s="8" t="inlineStr">
        <is>
          <t>Form-based editor for config.yaml -- 150+ fields across tabs (model, terminal, display, agent, delegation, memory, approvals, etc.). Save / reset-to-defaults / export-as-JSON / import.</t>
        </is>
      </c>
      <c r="C7" s="8" t="inlineStr">
        <is>
          <t>web-dashboard.md: 'A form-based editor for config.yaml.' Separately, configuration.md (CLI reference) never mentions a UI, describes only hermes config edit/set/get -- the dashboard form is additive on top of the CLI, not documented in the same place.</t>
        </is>
      </c>
      <c r="D7" s="8" t="inlineStr">
        <is>
          <t>Directly relevant to CR-13 (comment-preserving edits) and CR-14 (staged config changes) in 01_Core_Runtime -- a structured form editor may be a simpler answer than hand-rolling ruamel.yaml. Whether it preserves YAML comments on the fields it DOESN'T toutouch is unconfirmed -- check before relying on it for CR-13.</t>
        </is>
      </c>
      <c r="E7" s="8" t="inlineStr">
        <is>
          <t>New finding, not yet tested</t>
        </is>
      </c>
    </row>
    <row r="8">
      <c r="A8" s="8" t="inlineStr">
        <is>
          <t>API Keys (sidebar: 'KEYS')</t>
        </is>
      </c>
      <c r="B8" s="8" t="inlineStr">
        <is>
          <t>Manage .env credentials grouped by category (LLM providers, tool integrations, messaging, agent settings). Status/description/signup links/delete per entry. NOT encrypted-at-rest -- this is .env management, not the Credential Vault (separate feature, see below).</t>
        </is>
      </c>
      <c r="C8" s="8" t="inlineStr">
        <is>
          <t>web-dashboard.md.</t>
        </is>
      </c>
      <c r="D8" s="8" t="inlineStr">
        <is>
          <t>IMPORTANT DISTINCTION found this session: this is a different thing from both (a) this project's own Postgres catalog vault (SV-01, already Done, external) and (b) Hermes's own local Credential Vault (next row). Three separate 'vault-shaped' things now exist -- don't conflate them.</t>
        </is>
      </c>
      <c r="E8" s="8" t="inlineStr">
        <is>
          <t>New finding, clarifies SV-01 scope</t>
        </is>
      </c>
    </row>
    <row r="9">
      <c r="A9" s="8" t="inlineStr">
        <is>
          <t>Credential Vault (NOT a sidebar item seen yet -- Desktop Settings or `hermes vault`)</t>
        </is>
      </c>
      <c r="B9" s="8" t="inlineStr">
        <is>
          <t>A LOCAL, Fernet-encrypted store at ~/.hermes/vault/ (0600 perms) for browser-fill website passwords specifically -- 'the model never sees them,' origin-bound auto-fill. Different purpose from API Keys above (that's provider/tool credentials; this is login passwords for sites the browser-automation tool fills in).</t>
        </is>
      </c>
      <c r="C9" s="8" t="inlineStr">
        <is>
          <t>credential-vault.md, directly quoted: 'passwords are encrypted on this machine and injected straight into the page; the model never sees them.' CLI: hermes vault list/add/rm/sources. Desktop: Settings -&gt; Passwords &amp; Logins.</t>
        </is>
      </c>
      <c r="D9" s="8" t="inlineStr">
        <is>
          <t>Relevant to TM-14 (Obscura browser automation, locked in) -- this is likely the mechanism that would hold any login credentials Obscura needs to fill forms with. Not yet connected to anything in this workbook.</t>
        </is>
      </c>
      <c r="E9" s="8" t="inlineStr">
        <is>
          <t>New finding, unused</t>
        </is>
      </c>
    </row>
    <row r="10">
      <c r="A10" s="8" t="inlineStr">
        <is>
          <t>Credential Pools</t>
        </is>
      </c>
      <c r="B10" s="8" t="inlineStr">
        <is>
          <t>Register MULTIPLE API keys/OAuth tokens for the SAME provider; Hermes auto-rotates on rate-limit/billing errors. Strategies: fill_first (default), round_robin, least_used, random. Tried BEFORE fallback providers kick in.</t>
        </is>
      </c>
      <c r="C10" s="8" t="inlineStr">
        <is>
          <t>credential-pools.md. CLI: hermes auth add &lt;provider&gt; --api-key ..., hermes auth list. Config: credential_pool_strategies: {provider: strategy}.</t>
        </is>
      </c>
      <c r="D10" s="8" t="inlineStr">
        <is>
          <t>Distinct from and complementary to MR-13 (Vultr/DeepSeek fallback, already locked in 03_Model_Routing_Resilience) -- pools rotate within one provider, fallback switches provider entirely. Pools are a cheap way to add resilience to Anthropic/OpenRouter calls specifically if ever rate-limited, no new concept needed, just more keys for the same provider.</t>
        </is>
      </c>
      <c r="E10" s="8" t="inlineStr">
        <is>
          <t>New finding, not needed yet</t>
        </is>
      </c>
    </row>
    <row r="11">
      <c r="A11" s="8" t="inlineStr">
        <is>
          <t>Sessions</t>
        </is>
      </c>
      <c r="B11" s="8" t="inlineStr">
        <is>
          <t>Browse/search all conversations (full-text, filter Chats/Automation/All), expand to see message history, rename, export as JSON, delete, bulk-prune.</t>
        </is>
      </c>
      <c r="C11" s="8" t="inlineStr">
        <is>
          <t>web-dashboard.md. Backed by the same ~/.hermes/state.db FTS5 index as session_search (see D5_Self_Improvement).</t>
        </is>
      </c>
      <c r="D11" s="8" t="inlineStr">
        <is>
          <t>Export-as-JSON is a real, built-in answer to IM-06 (02_Identity_Memory, 'Hermes runtime-memory backup') -- don't build a custom exporter, this already exists.</t>
        </is>
      </c>
      <c r="E11" s="8" t="inlineStr">
        <is>
          <t>New finding, relevant to IM-06</t>
        </is>
      </c>
    </row>
    <row r="12">
      <c r="A12" s="8" t="inlineStr">
        <is>
          <t>Logs</t>
        </is>
      </c>
      <c r="B12" s="8" t="inlineStr">
        <is>
          <t>Agent/gateway/error logs, filter by level (DEBUG-ERROR) and component, live-tail.</t>
        </is>
      </c>
      <c r="C12" s="8" t="inlineStr">
        <is>
          <t>web-dashboard.md.</t>
        </is>
      </c>
      <c r="D12" s="8" t="inlineStr">
        <is>
          <t>Relevant to 09_Observability ('health signals a human can actually see') -- likely satisfies part of that tab once reviewed in detail (not yet cross-checked row by row).</t>
        </is>
      </c>
      <c r="E12" s="8" t="inlineStr">
        <is>
          <t>New finding, not cross-checked against 09_Observability yet</t>
        </is>
      </c>
    </row>
    <row r="13">
      <c r="A13" s="8" t="inlineStr">
        <is>
          <t>Analytics</t>
        </is>
      </c>
      <c r="B13" s="8" t="inlineStr">
        <is>
          <t>Token counts, cache hit rates, estimated costs, daily breakdowns, per-model stats, charts, for 7/30/90-day windows.</t>
        </is>
      </c>
      <c r="C13" s="8" t="inlineStr">
        <is>
          <t>web-dashboard.md.</t>
        </is>
      </c>
      <c r="D13" s="8" t="inlineStr">
        <is>
          <t>This is a BUILT-IN answer to CS-05 (11_Cost_Subscriptions, 'Total monthly Hermes cost rollup', the tab the user already called 'the actual point of the project') -- worth checking before building any custom cost tracking.</t>
        </is>
      </c>
      <c r="E13" s="8" t="inlineStr">
        <is>
          <t>New finding, directly relevant to CS-05</t>
        </is>
      </c>
    </row>
    <row r="14">
      <c r="A14" s="8" t="inlineStr">
        <is>
          <t>Profiles</t>
        </is>
      </c>
      <c r="B14" s="8" t="inlineStr">
        <is>
          <t>Create/manage isolated Hermes instances (own config/skills/sessions/memory/cron). Shows model, skill count, gateway state. Supports clone / clone-all / clone-from / export-import (API keys stripped on export).</t>
        </is>
      </c>
      <c r="C14" s="8" t="inlineStr">
        <is>
          <t>profiles.md, directly quoted: 'Never point two agent processes at the same profile... two writers on one home compound each other's state.' Profile = separate HERMES_HOME directory; NOT a filesystem sandbox (full user permissions still apply).</t>
        </is>
      </c>
      <c r="D14" s="8" t="inlineStr">
        <is>
          <t>Directly validates CR-15 (sister's Hermes, full separation already decided) -- confirms that was the right call, sharing a profile would have actively corrupted both agents' state. profile export/import (keys stripped) could cheaply replicate config/personality to her instance without hand-copying files.</t>
        </is>
      </c>
      <c r="E14" s="8" t="inlineStr">
        <is>
          <t>Verified, validates CR-15</t>
        </is>
      </c>
    </row>
    <row r="15">
      <c r="A15" s="8" t="inlineStr">
        <is>
          <t>Skills</t>
        </is>
      </c>
      <c r="B15" s="8" t="inlineStr">
        <is>
          <t>Browse/search/toggle installed skills + toolsets by name/description/category; separate hub browser for installing/updating.</t>
        </is>
      </c>
      <c r="C15" s="8" t="inlineStr">
        <is>
          <t>web-dashboard.md.</t>
        </is>
      </c>
      <c r="D15" s="8" t="inlineStr">
        <is>
          <t>Same system as D3_Skills_System -- this is the GUI for what D3 researched via source/API. No new facts, just confirms a UI exists.</t>
        </is>
      </c>
      <c r="E15" s="8" t="inlineStr">
        <is>
          <t>Confirms D3, no new facts</t>
        </is>
      </c>
    </row>
    <row r="16">
      <c r="A16" s="8" t="inlineStr">
        <is>
          <t>MCP</t>
        </is>
      </c>
      <c r="B16" s="8" t="inlineStr">
        <is>
          <t>Add/manage MCP servers (HTTP/SSE or stdio) without CLI -- env vars, enable/disable, connectivity test, remove. One-click install from a Nous-approved catalog.</t>
        </is>
      </c>
      <c r="C16" s="8" t="inlineStr">
        <is>
          <t>web-dashboard.md.</t>
        </is>
      </c>
      <c r="D16" s="8" t="inlineStr">
        <is>
          <t>Relevant to TM-12 (04_Tool_MCP_Layer, 'MCP server dependency/version pinning') and generally to how the 4 custom MCP servers (catalog_mcp, search_mcp, infra_mcp x2) could be managed once hermes-vps is the primary interface instead of hand-editing config.yaml.</t>
        </is>
      </c>
      <c r="E16" s="8" t="inlineStr">
        <is>
          <t>New finding</t>
        </is>
      </c>
    </row>
    <row r="17">
      <c r="A17" s="8" t="inlineStr">
        <is>
          <t>Channels</t>
        </is>
      </c>
      <c r="B17" s="8" t="inlineStr">
        <is>
          <t>Configure messaging platforms: Telegram, Discord, Slack, Matrix, Mattermost, WhatsApp, Signal, BlueBubbles, Email, SMS, DingTalk, Feishu, WeCom, WeChat, QQ, Yuanbao, generic API server, webhooks. Per-platform credential forms + enable/disable + connection test.</t>
        </is>
      </c>
      <c r="C17" s="8" t="inlineStr">
        <is>
          <t>web-dashboard.md + messaging/ doc directory (29 platform-specific docs found in source, far more than previously surveyed).</t>
        </is>
      </c>
      <c r="D17" s="8" t="inlineStr">
        <is>
          <t>IA-05 (Telegram, locked in) is one of 20+ supported channels, not a special case -- the dashboard makes adding a second channel (e.g. for sister's Hermes, CR-15/16) low-effort if ever wanted. Also found: a Home Assistant integration exists as a messaging-adjacent plugin (see next row) -- bigger than the smart-home Hue skill found in D3.</t>
        </is>
      </c>
      <c r="E17" s="8" t="inlineStr">
        <is>
          <t>New finding, expands IA-05 context</t>
        </is>
      </c>
    </row>
    <row r="18">
      <c r="A18" s="8" t="inlineStr">
        <is>
          <t>Home Assistant (plugin, found via Channels/messaging docs, not yet a dashboard sidebar item)</t>
        </is>
      </c>
      <c r="B18" s="8" t="inlineStr">
        <is>
          <t>WebSocket + REST integration to an EXISTING Home Assistant instance -- read sensor/device state, control lights/thermostats/locks/covers, react to real-time events (motion, door sensors).</t>
        </is>
      </c>
      <c r="C18" s="8" t="inlineStr">
        <is>
          <t>messaging/homeassistant.md: requires a running HA instance, a Long-Lived Access Token, HASS_TOKEN env var, hermes plugins install homeassistant.</t>
        </is>
      </c>
      <c r="D18" s="8" t="inlineStr">
        <is>
          <t>SUPERSEDES the narrower 'smart-home: Hue via OpenHue CLI' finding from D3_Skills_System IF Home Assistant already runs on the home network (unconfirmed -- same open question D3 already flagged, now with a much bigger payoff if true). Needs a direct answer from the user, not a guess.</t>
        </is>
      </c>
      <c r="E18" s="8" t="inlineStr">
        <is>
          <t>Open question -- does HA exist on the home network?</t>
        </is>
      </c>
    </row>
    <row r="19">
      <c r="A19" s="8" t="inlineStr">
        <is>
          <t>Webhooks</t>
        </is>
      </c>
      <c r="B19" s="8" t="inlineStr">
        <is>
          <t>Generic inbound webhook receiver (GitHub/GitLab/Jira/Stripe/etc.) that triggers an agent run or direct (LLM-free) notification. HMAC-signed, per-route event filtering, per-route toolset restriction to contain untrusted payload content.</t>
        </is>
      </c>
      <c r="C19" s="8" t="inlineStr">
        <is>
          <t>messaging/webhooks.md. Default port 8644, routes under platforms.webhook.extra.routes in config.yaml.</t>
        </is>
      </c>
      <c r="D19" s="8" t="inlineStr">
        <is>
          <t>Not currently tracked anywhere in 01-15. Plausible future use: auto-triage on the Hermes GitHub repo itself (issues/PRs) -- not needed now, just noting the capability exists.</t>
        </is>
      </c>
      <c r="E19" s="8" t="inlineStr">
        <is>
          <t>New finding, no current use case</t>
        </is>
      </c>
    </row>
    <row r="20">
      <c r="A20" s="8" t="inlineStr">
        <is>
          <t>Pairing</t>
        </is>
      </c>
      <c r="B20" s="8" t="inlineStr">
        <is>
          <t>Approve/revoke messaging-platform users (Telegram, Discord, etc.) from the dashboard instead of CLI -- pending requests with user/platform/age, approved-user list, clear-all.</t>
        </is>
      </c>
      <c r="C20" s="8" t="inlineStr">
        <is>
          <t>web-dashboard.md.</t>
        </is>
      </c>
      <c r="D20" s="8" t="inlineStr">
        <is>
          <t>This is literally the mechanism that finishes IA-05 (Telegram channel, currently Partial) -- once the BotFather token exists, Pairing is where you'd actually approve your own Telegram account.</t>
        </is>
      </c>
      <c r="E20" s="8" t="inlineStr">
        <is>
          <t>New finding, directly closes part of IA-05</t>
        </is>
      </c>
    </row>
    <row r="21">
      <c r="A21" s="8" t="inlineStr">
        <is>
          <t>System</t>
        </is>
      </c>
      <c r="B21" s="8" t="inlineStr">
        <is>
          <t>Host stats (OS/CPU/mem/disk/uptime), Nous Portal login status, skill curator controls, gateway start/stop/restart, memory-provider selection, credential pool management, hermes doctor, security audit, backup/restore, support-dump generation, checkpoints (rollback store), shell hooks.</t>
        </is>
      </c>
      <c r="C21" s="8" t="inlineStr">
        <is>
          <t>web-dashboard.md.</t>
        </is>
      </c>
      <c r="D21" s="8" t="inlineStr">
        <is>
          <t>Memory-provider selection here is the GUI for IM-05 (Hindsight) once deployed. 'backup/restore' + 'support dump' are built-in candidates for BD-04 (full-rebuild runbook) and BD-05 (restore actually tested) in 10_Backup_DR -- check these before writing a custom runbook from scratch. 'security audit' (hermes doctor-adjacent) may partially pre-empt SH-07 (dependency/CVE awareness process).</t>
        </is>
      </c>
      <c r="E21" s="8" t="inlineStr">
        <is>
          <t>New finding, relevant to BD-04/05, SH-07, IM-05</t>
        </is>
      </c>
    </row>
    <row r="22">
      <c r="A22" s="8" t="inlineStr">
        <is>
          <t>Checkpoints &amp; Rollback</t>
        </is>
      </c>
      <c r="B22" s="8" t="inlineStr">
        <is>
          <t>Automatic shadow-git snapshot (~/.hermes/checkpoints/store/, deduplicated across projects) before any write_file/patch or destructive terminal command (rm, mv, sed -i, git reset, output redirects). /rollback &lt;N&gt; restores only Hermes's own changes, preserves hand-edits, creates a pre-rollback backup first.</t>
        </is>
      </c>
      <c r="C22" s="8" t="inlineStr">
        <is>
          <t>checkpoints-and-rollback.md, verified real and specific (not marketing copy).</t>
        </is>
      </c>
      <c r="D22" s="8" t="inlineStr">
        <is>
          <t>Directly relevant to GV-03 (13_Governance_Change_Mgmt, 'Change log for hermes-vps config.yaml edits') -- this is an implicit, automatic change history for every file Hermes touches, config.yaml included, with built-in undo. Worth checking before building a separate changelog mechanism.</t>
        </is>
      </c>
      <c r="E22" s="8" t="inlineStr">
        <is>
          <t>New finding, directly relevant to GV-03</t>
        </is>
      </c>
    </row>
    <row r="23">
      <c r="A23" s="8" t="inlineStr">
        <is>
          <t>Auth / network exposure model</t>
        </is>
      </c>
      <c r="B23" s="8" t="inlineStr">
        <is>
          <t>Binding to 127.0.0.1 (loopback): NO auth required, 'no data leaves localhost.' Binding to anything else: REFUSES to start without an auth provider configured -- username/password (trusted-network/VPN only, explicitly NOT for public internet), Nous Portal OAuth (recommended for internet-facing), or self-hosted OIDC (Keycloak/Auth0/Okta/Google).</t>
        </is>
      </c>
      <c r="C23" s="8" t="inlineStr">
        <is>
          <t>web-dashboard.md, directly quoted on the password provider: 'intended for self-hosted / on-prem / homelab dashboards on a trusted network' and 'not for public-internet exposure.' The dashboard 'reads and writes your .env file, which contains API keys and secrets.'</t>
        </is>
      </c>
      <c r="D23" s="8" t="inlineStr">
        <is>
          <t>OPEN SECURITY QUESTION, not yet answered: the screenshots show the dashboard reachable at a public-looking domain (vultropenclaw.com subdomain) with no login prompt visible. That's consistent with EITHER (a) loopback-bound + reverse-proxied behind something else's auth, or (b) a non-loopback bind with Hermes's own auth gate already satisfied/session-cached, or (c) actually exposed without the gate active. This maps directly to SH-06 (12_Security_Hardening, 'Web UI auth mechanism security review', Not Started) -- that row needs a real answer, not an assumption either way.</t>
        </is>
      </c>
      <c r="E23" s="8" t="inlineStr">
        <is>
          <t>FLAGGED -- needs a direct answer, not researched further without it</t>
        </is>
      </c>
    </row>
    <row r="24">
      <c r="A24" s="8" t="inlineStr">
        <is>
          <t>Theme / dashboard extension system</t>
        </is>
      </c>
      <c r="B24" s="8" t="inlineStr">
        <is>
          <t>8 built-in themes (incl. 'Hermes Teal', shown live in the screenshots), switchable live, persisted to config.yaml dashboard.theme. Custom themes, plugin tabs, and backend FastAPI routes addable via drop-in plugins, no repo clone needed.</t>
        </is>
      </c>
      <c r="C24" s="8" t="inlineStr">
        <is>
          <t>web-dashboard.md.</t>
        </is>
      </c>
      <c r="D24" s="8" t="inlineStr">
        <is>
          <t>Low priority -- cosmetic/extensibility, not a gap in anything currently tracked. Noting only for completeness since it was visible in the screenshot ('HERMES TEAL (LARGE)').</t>
        </is>
      </c>
      <c r="E24" s="8" t="inlineStr">
        <is>
          <t>Noted, low priority</t>
        </is>
      </c>
    </row>
    <row r="25">
      <c r="A25" s="8" t="inlineStr">
        <is>
          <t>Achievements (plugin, sidebar under Plugins)</t>
        </is>
      </c>
      <c r="B25" s="8" t="inlineStr">
        <is>
          <t>Gamified badge system scanning session history for behavior patterns (autonomous tool chains, debugging recovery, skill/memory/cron usage, night-owl sessions, etc.). Five tiers: Copper -&gt; Silver -&gt; Gold -&gt; Diamond -&gt; Olympian. Shareable PNG cards.</t>
        </is>
      </c>
      <c r="C25" s="8" t="inlineStr">
        <is>
          <t>plugins/hermes-achievements/README.md, confirmed purely cosmetic -- 'Agent Behavior Impact: None.'</t>
        </is>
      </c>
      <c r="D25" s="8" t="inlineStr">
        <is>
          <t>No action needed -- confirming it's real and genuinely has zero effect on agent behavior, so it can be safely ignored for every purpose this workbook tracks.</t>
        </is>
      </c>
      <c r="E25" s="8" t="inlineStr">
        <is>
          <t>Verified, no action needed</t>
        </is>
      </c>
    </row>
    <row r="26">
      <c r="A26" s="8" t="inlineStr">
        <is>
          <t>Kanban (plugin, sidebar under Plugins)</t>
        </is>
      </c>
      <c r="B26" s="8" t="inlineStr">
        <is>
          <t>Already covered in D4_Crons_System as 'adjacent but out of scope' -- cross-referencing here since it's visible in the same sidebar screenshot.</t>
        </is>
      </c>
      <c r="C26" s="8" t="inlineStr">
        <is>
          <t>See D4_Crons_System for detail (SQLite-backed multi-agent work queue, separate from Crons).</t>
        </is>
      </c>
      <c r="D26" s="8" t="inlineStr">
        <is>
          <t>No new information -- just confirming the sidebar item matches what D4 already found.</t>
        </is>
      </c>
      <c r="E26" s="8" t="inlineStr">
        <is>
          <t>Already covered in D4</t>
        </is>
      </c>
    </row>
  </sheetData>
  <mergeCells count="2">
    <mergeCell ref="A2:E2"/>
    <mergeCell ref="A1:E1"/>
  </mergeCells>
  <pageMargins left="0.75" right="0.75" top="1" bottom="1" header="0.5" footer="0.5"/>
</worksheet>
</file>

<file path=xl/worksheets/sheet26.xml><?xml version="1.0" encoding="utf-8"?>
<worksheet xmlns="http://schemas.openxmlformats.org/spreadsheetml/2006/main">
  <sheetPr>
    <tabColor rgb="008A5A2E"/>
    <outlinePr summaryBelow="1" summaryRight="1"/>
    <pageSetUpPr/>
  </sheetPr>
  <dimension ref="A1:E2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2" customWidth="1" min="2" max="2"/>
    <col width="56" customWidth="1" min="3" max="3"/>
    <col width="54" customWidth="1" min="4" max="4"/>
    <col width="22" customWidth="1" min="5" max="5"/>
  </cols>
  <sheetData>
    <row r="1" ht="22" customHeight="1">
      <c r="A1" s="6" t="inlineStr">
        <is>
          <t>Discovery — Setup Execution Workflow (sequenced runbook, not yet run)</t>
        </is>
      </c>
    </row>
    <row r="2" ht="16" customHeight="1">
      <c r="A2" s="2" t="inlineStr">
        <is>
          <t>Source: a community guide (r/hermesagent, 'Complete Hermes Agent Setup Guide', u/smolpotat0_x, posted ~2026-03, i.e. ~7 months stale against a project doing 48k+ commits) -- user supplied as PDF 2026-10-05. EVERY command below was spot-checked against current github.com/NousResearch/hermes-agent source (hermes_cli/gateway.py, cron.py, tools/skills_hub.py, doctor.py, pairing.py) before being kept, given the staleness risk. This is a REFERENCE RUNBOOK for the eventual execution phase -- nothing here has been run. Steps already Done on hermes-vps are marked accordingly.</t>
        </is>
      </c>
    </row>
    <row r="4">
      <c r="A4" s="7" t="inlineStr">
        <is>
          <t>Step</t>
        </is>
      </c>
      <c r="B4" s="7" t="inlineStr">
        <is>
          <t>Action</t>
        </is>
      </c>
      <c r="C4" s="7" t="inlineStr">
        <is>
          <t>Command(s) -- verified against current source</t>
        </is>
      </c>
      <c r="D4" s="7" t="inlineStr">
        <is>
          <t>Status on hermes-vps / notes</t>
        </is>
      </c>
      <c r="E4" s="7" t="inlineStr">
        <is>
          <t>Verification</t>
        </is>
      </c>
    </row>
    <row r="5">
      <c r="A5" s="8" t="inlineStr">
        <is>
          <t>1. Prerequisites</t>
        </is>
      </c>
      <c r="B5" s="8" t="inlineStr">
        <is>
          <t>OS/shell/git/internet check; Windows needs WSL2 (native Windows unsupported per the guide).</t>
        </is>
      </c>
      <c r="C5" s="8" t="inlineStr">
        <is>
          <t>No command -- environment check only.</t>
        </is>
      </c>
      <c r="D5" s="8" t="inlineStr">
        <is>
          <t>N/A -- hermes-vps is Linux. Relevant instead to 07_Local_Inference's Windows build (ik_llama.cpp) on w_workstation, which already has its own separate dependency list in D2_Providers_And_Deps.</t>
        </is>
      </c>
      <c r="E5" s="8" t="inlineStr">
        <is>
          <t>Not re-verified, low-risk claim</t>
        </is>
      </c>
    </row>
    <row r="6">
      <c r="A6" s="8" t="inlineStr">
        <is>
          <t>2. Pick an LLM API key / provider</t>
        </is>
      </c>
      <c r="B6" s="8" t="inlineStr">
        <is>
          <t>Hermes needs at least one provider key to generate responses even before any local model exists.</t>
        </is>
      </c>
      <c r="C6" s="8" t="inlineStr">
        <is>
          <t>Guide lists OpenRouter, MiniMax, Nous Portal, OpenAI, Anthropic, GLM, Kimi as options; recommends OpenRouter for free credits.</t>
        </is>
      </c>
      <c r="D6" s="8" t="inlineStr">
        <is>
          <t>Already superseded by this project's own decisions: Codex/ChatGPT Plus is the 'thinking tier' (CS-01, Done), DeepSeek-V4-Flash via Vultr is the cloud fallback (MR-13, locked). No need to follow the guide's generic recommendation.</t>
        </is>
      </c>
      <c r="E6" s="8" t="inlineStr">
        <is>
          <t>Superseded by existing decisions</t>
        </is>
      </c>
    </row>
    <row r="7">
      <c r="A7" s="8" t="inlineStr">
        <is>
          <t>3. Install</t>
        </is>
      </c>
      <c r="B7" s="8" t="inlineStr">
        <is>
          <t>Run the official installer script.</t>
        </is>
      </c>
      <c r="C7" s="8" t="inlineStr">
        <is>
          <t>curl -fsSL https://raw.githubusercontent.com/NousResearch/hermes-agent/main/scripts/install.sh | bash (guide's command was truncated in the PDF, reconstructed from the known install.sh path already confirmed real in CR-02's migration).</t>
        </is>
      </c>
      <c r="D7" s="8" t="inlineStr">
        <is>
          <t>ALREADY DONE -- CR-02 (01_Core_Runtime) is Done, migrated 2026-09-29 to this exact supported install.sh/git channel, currently v0.21.5+.</t>
        </is>
      </c>
      <c r="E7" s="8" t="inlineStr">
        <is>
          <t>Already satisfied (CR-02)</t>
        </is>
      </c>
    </row>
    <row r="8">
      <c r="A8" s="8" t="inlineStr">
        <is>
          <t>4. Reload shell + verify</t>
        </is>
      </c>
      <c r="B8" s="8" t="inlineStr">
        <is>
          <t>Confirm the hermes binary is on PATH.</t>
        </is>
      </c>
      <c r="C8" s="8" t="inlineStr">
        <is>
          <t>source ~/.bashrc; hermes --version</t>
        </is>
      </c>
      <c r="D8" s="8" t="inlineStr">
        <is>
          <t>Already satisfied -- live dashboard screenshot shows v0.21.5 running.</t>
        </is>
      </c>
      <c r="E8" s="8" t="inlineStr">
        <is>
          <t>Confirmed live</t>
        </is>
      </c>
    </row>
    <row r="9">
      <c r="A9" s="8" t="inlineStr">
        <is>
          <t>5. Initial setup wizard OR manual config</t>
        </is>
      </c>
      <c r="B9" s="8" t="inlineStr">
        <is>
          <t>Either the interactive wizard, or direct config commands.</t>
        </is>
      </c>
      <c r="C9" s="8" t="inlineStr">
        <is>
          <t>hermes setup (interactive: provider, API key, model, tools, messaging) -- OR manually: hermes config set &lt;KEY&gt; &lt;VAL&gt;, hermes model, hermes tools.</t>
        </is>
      </c>
      <c r="D9" s="8" t="inlineStr">
        <is>
          <t>Partially done piecemeal (CR-02 install, but the wizard itself and a deliberate model/tools pass not confirmed run) -- worth running `hermes config` to see current state before assuming anything.</t>
        </is>
      </c>
      <c r="E9" s="8" t="inlineStr">
        <is>
          <t>hermes config set/edit confirmed against current configuration.md</t>
        </is>
      </c>
    </row>
    <row r="10">
      <c r="A10" s="8" t="inlineStr">
        <is>
          <t>6. config.yaml key structure</t>
        </is>
      </c>
      <c r="B10" s="8" t="inlineStr">
        <is>
          <t>What the file actually looks like once configured.</t>
        </is>
      </c>
      <c r="C10" s="8" t="inlineStr">
        <is>
          <t>model.default, model.provider, model.base_url, agent.max_turns, agent.reasoning_effort, toolsets, display.personality, display.compact, terminal.timeout, memory.memory_enabled.</t>
        </is>
      </c>
      <c r="D10" s="8" t="inlineStr">
        <is>
          <t>Directly relevant to CR-13/CR-14 (comment-preserving/staged edits) -- this is the exact key set any editing approach (CLI, dashboard Config form, or hand-edit) needs to handle correctly.</t>
        </is>
      </c>
      <c r="E10" s="8" t="inlineStr">
        <is>
          <t>Matches current configuration.md reference table</t>
        </is>
      </c>
    </row>
    <row r="11">
      <c r="A11" s="8" t="inlineStr">
        <is>
          <t>7. Secrets via .env</t>
        </is>
      </c>
      <c r="B11" s="8" t="inlineStr">
        <is>
          <t>Sensitive values stay out of config.yaml.</t>
        </is>
      </c>
      <c r="C11" s="8" t="inlineStr">
        <is>
          <t>~/.hermes/.env -- OPENROUTER_API_KEY, MINIMAX_API_KEY, TELEGRAM_BOT_TOKEN, DISCORD_BOT_TOKEN, HASS_TOKEN, HASS_URL, etc.</t>
        </is>
      </c>
      <c r="D11" s="8" t="inlineStr">
        <is>
          <t>Relevant to SV-09 (05_Secrets_Vault, 'Vultr inference key removed from config.yaml plaintext', Not Started) -- confirms the intended pattern is .env, not inline config.yaml values.</t>
        </is>
      </c>
      <c r="E11" s="8" t="inlineStr">
        <is>
          <t>Matches current docs</t>
        </is>
      </c>
    </row>
    <row r="12">
      <c r="A12" s="8" t="inlineStr">
        <is>
          <t>8. Gateway + messaging platforms</t>
        </is>
      </c>
      <c r="B12" s="8" t="inlineStr">
        <is>
          <t>Connect Telegram/Discord/WhatsApp/Slack/Signal/Email so Hermes is reachable outside the terminal.</t>
        </is>
      </c>
      <c r="C12" s="8" t="inlineStr">
        <is>
          <t>hermes gateway setup (interactive per-platform) -- Telegram: message @BotFather, /newbot, copy token, hermes gateway setup. Discord: Developer Portal, create bot, copy token. WhatsApp: QR pairing. Then hermes gateway start (background service) / hermes gateway run (foreground debug) / hermes gateway status.</t>
        </is>
      </c>
      <c r="D12" s="8" t="inlineStr">
        <is>
          <t>ALREADY PARTIALLY DONE -- CR-03 (gateway running persistently, systemd, Done) covers the service itself; IA-05 (Telegram channel, Partial) still needs the actual BotFather token created and run through this exact flow.</t>
        </is>
      </c>
      <c r="E12" s="8" t="inlineStr">
        <is>
          <t>gateway start/run/status/install all confirmed present in current hermes_cli/gateway.py</t>
        </is>
      </c>
    </row>
    <row r="13">
      <c r="A13" s="8" t="inlineStr">
        <is>
          <t>9. Tools and toolsets</t>
        </is>
      </c>
      <c r="B13" s="8" t="inlineStr">
        <is>
          <t>See and enable capability categories.</t>
        </is>
      </c>
      <c r="C13" s="8" t="inlineStr">
        <is>
          <t>hermes tools (list available) -- categories seen: Web, Code, File, Vision, Memory, Communication (telegram_send, discord_send, email), Home (home_assistant: lights/switches/climate), Research (arxiv_search, duckduckgo_search). hermes tools --list / --set cli / --set all for toolset bundles.</t>
        </is>
      </c>
      <c r="D13" s="8" t="inlineStr">
        <is>
          <t>The 'Home' toolset category (home_assistant) independently confirms the Home Assistant integration D6_Web_Dashboard already flagged as an open question -- still unconfirmed whether HA runs on the home network.</t>
        </is>
      </c>
      <c r="E13" s="8" t="inlineStr">
        <is>
          <t>Category names consistent with D3/D6 findings</t>
        </is>
      </c>
    </row>
    <row r="14">
      <c r="A14" s="8" t="inlineStr">
        <is>
          <t>10. Personality</t>
        </is>
      </c>
      <c r="B14" s="8" t="inlineStr">
        <is>
          <t>Quick personality presets, distinct from full SOUL.md authoring.</t>
        </is>
      </c>
      <c r="C14" s="8" t="inlineStr">
        <is>
          <t>hermes config set display.personality &lt;helpful|creative|teacher|kawaii|pirate|noir&gt;.</t>
        </is>
      </c>
      <c r="D14" s="8" t="inlineStr">
        <is>
          <t>Lighter-weight than IM-01 (SOUL.md committed, Not Started) -- a preset is not a substitute for the actual SOUL.md drafted in this project's earlier Memory/Soul discovery, just a faster default if SOUL.md isn't ready yet.</t>
        </is>
      </c>
      <c r="E14" s="8" t="inlineStr">
        <is>
          <t>Not independently re-verified, low risk</t>
        </is>
      </c>
    </row>
    <row r="15">
      <c r="A15" s="8" t="inlineStr">
        <is>
          <t>11. Skills</t>
        </is>
      </c>
      <c r="B15" s="8" t="inlineStr">
        <is>
          <t>Browse/install reusable procedures.</t>
        </is>
      </c>
      <c r="C15" s="8" t="inlineStr">
        <is>
          <t>hermes skills (browse), hermes skills search &lt;query&gt;, hermes skills install &lt;name&gt;, hermes skills remove &lt;name&gt;.</t>
        </is>
      </c>
      <c r="D15" s="8" t="inlineStr">
        <is>
          <t>Matches D3_Skills_System's `hermes skills list`/`install`/`search` findings closely enough (browse vs list is cosmetic) -- no new facts, just confirms the guide and the source-verified D3 findings agree.</t>
        </is>
      </c>
      <c r="E15" s="8" t="inlineStr">
        <is>
          <t>Consistent with D3, both from source</t>
        </is>
      </c>
    </row>
    <row r="16">
      <c r="A16" s="8" t="inlineStr">
        <is>
          <t>12. Cron</t>
        </is>
      </c>
      <c r="B16" s="8" t="inlineStr">
        <is>
          <t>Scheduled jobs.</t>
        </is>
      </c>
      <c r="C16" s="8" t="inlineStr">
        <is>
          <t>hermes cron list, hermes cron add "0 9 * * *" "Your task" (guide uses 'add'; current source confirms BOTH 'add' and 'create' subcommands exist in cron.py -- not a conflict with D4's 'create' finding, both work).</t>
        </is>
      </c>
      <c r="D16" s="8" t="inlineStr">
        <is>
          <t>Matches D4_Crons_System. No jobs to be created per standing instruction -- capability-only.</t>
        </is>
      </c>
      <c r="E16" s="8" t="inlineStr">
        <is>
          <t>Both 'add' and 'create' confirmed in current cron.py</t>
        </is>
      </c>
    </row>
    <row r="17">
      <c r="A17" s="8" t="inlineStr">
        <is>
          <t>13. Pairing (new users)</t>
        </is>
      </c>
      <c r="B17" s="8" t="inlineStr">
        <is>
          <t>Approve a messaging-platform user.</t>
        </is>
      </c>
      <c r="C17" s="8" t="inlineStr">
        <is>
          <t>hermes pairing generate.</t>
        </is>
      </c>
      <c r="D17" s="8" t="inlineStr">
        <is>
          <t>Matches D6_Web_Dashboard's Pairing page finding -- confirms a CLI path exists alongside the dashboard GUI for the same IA-05 follow-through.</t>
        </is>
      </c>
      <c r="E17" s="8" t="inlineStr">
        <is>
          <t>pairing.py confirmed to exist in current hermes_cli/</t>
        </is>
      </c>
    </row>
    <row r="18">
      <c r="A18" s="8" t="inlineStr">
        <is>
          <t>14. Updates and diagnostics</t>
        </is>
      </c>
      <c r="B18" s="8" t="inlineStr">
        <is>
          <t>Keep current, self-diagnose.</t>
        </is>
      </c>
      <c r="C18" s="8" t="inlineStr">
        <is>
          <t>hermes update, hermes doctor, hermes version.</t>
        </is>
      </c>
      <c r="D18" s="8" t="inlineStr">
        <is>
          <t>The live dashboard already shows '2547 commits behind -- run hermes update to update' -- CR-11 (01_Core_Runtime, 'hermes-agent version pin + upgrade process', Not Started) should define WHEN to run this, not just that the command exists.</t>
        </is>
      </c>
      <c r="E18" s="8" t="inlineStr">
        <is>
          <t>doctor.py confirmed (6 sub-modules) in current hermes_cli/</t>
        </is>
      </c>
    </row>
    <row r="19">
      <c r="A19" s="8" t="inlineStr">
        <is>
          <t>15. Full reset (destructive, noted for completeness only)</t>
        </is>
      </c>
      <c r="B19" s="8" t="inlineStr">
        <is>
          <t>Nuke and restart from scratch.</t>
        </is>
      </c>
      <c r="C19" s="8" t="inlineStr">
        <is>
          <t>rm -rf ~/.hermes &amp;&amp; hermes setup.</t>
        </is>
      </c>
      <c r="D19" s="8" t="inlineStr">
        <is>
          <t>NOT a step to run casually -- deletes config, memories, skills, cron jobs, sessions. Noting only because it's a documented escape hatch, not a recommendation.</t>
        </is>
      </c>
      <c r="E19" s="8" t="inlineStr">
        <is>
          <t>Documented, not verified further (destructive, didn't test)</t>
        </is>
      </c>
    </row>
    <row r="20">
      <c r="A20" s="8" t="inlineStr">
        <is>
          <t>Real-world caution #1: local-model tool routing</t>
        </is>
      </c>
      <c r="B20" s="8" t="inlineStr">
        <is>
          <t>A comment thread directly about Qwen3.5-35B-A3B (one version behind this project's locked Qwen3.6-35B-A3B) defaulting to curl/exec-python instead of using available specialized tools/skills.</t>
        </is>
      </c>
      <c r="C20" s="8" t="inlineStr">
        <is>
          <t>Diagnosed in the thread as a confidence/token-efficiency heuristic in smaller local models, not a bug -- fixable with an explicit system-prompt directive prioritizing specific tools over generic curl/python. A later commenter reports Qwen3.6 specifically is 'a lot better especially with tool calling' and became their daily driver.</t>
        </is>
      </c>
      <c r="D20" s="8" t="inlineStr">
        <is>
          <t>Directly relevant to LI-04 (07_Local_Inference, 'Model chosen + pulled', Partial) -- worth testing tool-routing behavior specifically during LI-07 benchmarking, not just raw capability, and having the explicit-prioritization prompt fix ready if the same pattern shows up.</t>
        </is>
      </c>
      <c r="E20" s="8" t="inlineStr">
        <is>
          <t>Community report (dated, mixed signal), not independently verified</t>
        </is>
      </c>
    </row>
    <row r="21">
      <c r="A21" s="8" t="inlineStr">
        <is>
          <t>Real-world caution #2: production-readiness</t>
        </is>
      </c>
      <c r="B21" s="8" t="inlineStr">
        <is>
          <t>One commenter (6mo old, same era as the guide) reported Hermes 'not ready for production use,' hanging after chains of tool calls, less capable than the predecessor OpenClaw in their side-by-side test.</t>
        </is>
      </c>
      <c r="C21" s="8" t="inlineStr">
        <is>
          <t>Countered by a more recent comment (5mo old) reporting Qwen3.6 + Hermes as a stable daily driver via Telegram for 20+ minute unattended sessions.</t>
        </is>
      </c>
      <c r="D21" s="8" t="inlineStr">
        <is>
          <t>Mixed and dated signal from a fast-moving project (48k+ commits) -- worth a real smoke test once hermes-vps setup resumes, not something to take either report's word for either way.</t>
        </is>
      </c>
      <c r="E21" s="8" t="inlineStr">
        <is>
          <t>Anecdotal, conflicting, not verified against current version</t>
        </is>
      </c>
    </row>
    <row r="22">
      <c r="A22" s="8" t="inlineStr">
        <is>
          <t>Noted, not recommended: third-party one-click deployers</t>
        </is>
      </c>
      <c r="B22" s="8" t="inlineStr">
        <is>
          <t>A commenter built 'hermify.io' -- Docker image + Tailscale + Cloudflare Tunnel, &lt;60s to a live Hermes.</t>
        </is>
      </c>
      <c r="C22" s="8" t="inlineStr">
        <is>
          <t>Unofficial, third-party, not from Nous Research. Would touch credentials and networking decisions this project has already made independently (Vultr-preferred, WireGuard not Tailscale, self-sufficiency rule).</t>
        </is>
      </c>
      <c r="D22" s="8" t="inlineStr">
        <is>
          <t>Same risk class as the Obscura browser-automation plugin (unofficial, accepted knowingly there) -- NOT recommended here since it would duplicate/override infrastructure decisions already locked, not fill a gap.</t>
        </is>
      </c>
      <c r="E22" s="8" t="inlineStr">
        <is>
          <t>Noted only, not pursued</t>
        </is>
      </c>
    </row>
  </sheetData>
  <mergeCells count="2">
    <mergeCell ref="A2:E2"/>
    <mergeCell ref="A1:E1"/>
  </mergeCells>
  <pageMargins left="0.75" right="0.75" top="1" bottom="1" header="0.5" footer="0.5"/>
</worksheet>
</file>

<file path=xl/worksheets/sheet27.xml><?xml version="1.0" encoding="utf-8"?>
<worksheet xmlns="http://schemas.openxmlformats.org/spreadsheetml/2006/main">
  <sheetPr>
    <tabColor rgb="008A5A2E"/>
    <outlinePr summaryBelow="1" summaryRight="1"/>
    <pageSetUpPr/>
  </sheetPr>
  <dimension ref="A1:E1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6" customWidth="1" min="2" max="2"/>
    <col width="54" customWidth="1" min="3" max="3"/>
    <col width="54" customWidth="1" min="4" max="4"/>
    <col width="20" customWidth="1" min="5" max="5"/>
  </cols>
  <sheetData>
    <row r="1" ht="22" customHeight="1">
      <c r="A1" s="6" t="inlineStr">
        <is>
          <t>Discovery — Advanced Reference (Practitioner's Reference PDF + hermesbible.com)</t>
        </is>
      </c>
    </row>
    <row r="2" ht="16" customHeight="1">
      <c r="A2" s="2" t="inlineStr">
        <is>
          <t>Researched 2026-10-05. Two sources: a 255-page community practitioner reference (user-supplied PDF, every claim footnoted to upstream docs/source) and hermesbible.com's llms-full.txt (bulk-downloadable, 169 official-docs pages + ~40 unique community 'flows'). Corrections to earlier D3-D7 findings are called out explicitly. Cross-references into 01-15 tabs noted inline.</t>
        </is>
      </c>
    </row>
    <row r="4">
      <c r="A4" s="7" t="inlineStr">
        <is>
          <t>Topic</t>
        </is>
      </c>
      <c r="B4" s="7" t="inlineStr">
        <is>
          <t>What it is</t>
        </is>
      </c>
      <c r="C4" s="7" t="inlineStr">
        <is>
          <t>Detail</t>
        </is>
      </c>
      <c r="D4" s="7" t="inlineStr">
        <is>
          <t>Cross-reference / why it matters</t>
        </is>
      </c>
      <c r="E4" s="7" t="inlineStr">
        <is>
          <t>Status</t>
        </is>
      </c>
    </row>
    <row r="5">
      <c r="A5" s="8" t="inlineStr">
        <is>
          <t>CORRECTION: TM-07 Nous Tool Gateway</t>
        </is>
      </c>
      <c r="B5" s="8" t="inlineStr">
        <is>
          <t>04_Tool_MCP_Layer TM-07 described this as '5 sandboxed exec backends' -- that was wrong, conflating two separate systems.</t>
        </is>
      </c>
      <c r="C5" s="8" t="inlineStr">
        <is>
          <t>The real Tool Gateway is 4 tools only (web_search/Firecrawl, image_gen/FAL, TTS/OpenAI, browser automation/Browser Use), opt-in per-tool via `use_gateway: true`, and requires a PAID Nous Portal subscription (OAuth login via `hermes model` or `hermes setup --portal`) -- it does not work on the free tier for these 4 tools specifically. The '5 exec backends' is actually the terminal tool's backend list, which is really 7: local, docker (locked in, CR-17), ssh, singularity, modal, daytona, vercel_sandbox.</t>
        </is>
      </c>
      <c r="D5" s="8" t="inlineStr">
        <is>
          <t>Given Obscura (browser), and existing web-search/TTS providers are already locked in, this Gateway likely isn't worth a paid subscription just for it. Fix TM-07's description either way. SSH backend is worth knowing about as a MORE isolated alternative to Docker -- docs' own words: 'the agent can't modify its own code.'</t>
        </is>
      </c>
      <c r="E5" s="8" t="inlineStr">
        <is>
          <t>Correction -- needs TM-07 text fixed</t>
        </is>
      </c>
    </row>
    <row r="6">
      <c r="A6" s="8" t="inlineStr">
        <is>
          <t>GEPA: offline skill evolution</t>
        </is>
      </c>
      <c r="B6" s="8" t="inlineStr">
        <is>
          <t>A fourth self-improvement mechanism, separate from the three already found in D5 (background review, Curator, session search).</t>
        </is>
      </c>
      <c r="C6" s="8" t="inlineStr">
        <is>
          <t>Lives in a companion repo (NousResearch/hermes-agent-self-evolution, ICLR 2026 Oral paper, MIT licensed), not the runtime itself. Addresses a known weakness: the in-agent loop tends toward self-congratulation (thinks it did well even when it didn't). GEPA reads execution traces to understand WHY things failed, proposes candidate skill variants via genetic-pareto search, gates them on full test suite pass + size/caching constraints, and ships the best variant as a PR against the repo -- never a direct commit. No GPU required, ~$2-10/run.</t>
        </is>
      </c>
      <c r="D6" s="8" t="inlineStr">
        <is>
          <t>Not needed for initial setup -- an optimization to reach for later, once real usage history exists to feed it. Add to D5_Self_Improvement as the fourth mechanism.</t>
        </is>
      </c>
      <c r="E6" s="8" t="inlineStr">
        <is>
          <t>New finding, not needed yet</t>
        </is>
      </c>
    </row>
    <row r="7">
      <c r="A7" s="8" t="inlineStr">
        <is>
          <t>hermes egress + Bitwarden: credential protection stack</t>
        </is>
      </c>
      <c r="B7" s="8" t="inlineStr">
        <is>
          <t>Fully explains the `hermes egress` command found earlier but not understood -- a real, available (Docker-backend-only) defense against a prompt-injected agent stealing its own API keys.</t>
        </is>
      </c>
      <c r="C7" s="8" t="inlineStr">
        <is>
          <t>Two composable layers: (1) Bitwarden Secrets Manager centralizes credentials (one bootstrap token in .env, everything else in the vault, instant fleet-wide revocation) via `hermes secrets bitwarden setup`. (2) iron-proxy (`hermes egress`) gives sandboxed commands OPAQUE proxy tokens instead of real keys -- the real credential is swapped in only at the network boundary, so a compromised sandbox walks away with tokens useless outside the proxy. `hermes egress setup --from-bitwarden` chains the two. Also blocks SSRF to cloud metadata (169.254.169.254) by default. Docker-only for now (matches CR-17 exactly).</t>
        </is>
      </c>
      <c r="D7" s="8" t="inlineStr">
        <is>
          <t>OPEN QUESTION (not resolved): does iron-proxy require Bitwarden specifically, or could `--from-bitwarden` have an equivalent pulling from the existing catalog Postgres vault instead? Don't adopt Bitwarden as a new standing system without checking this first -- would otherwise duplicate infrastructure. See SV-16.</t>
        </is>
      </c>
      <c r="E7" s="8" t="inlineStr">
        <is>
          <t>New finding, real capability, adoption path unclear</t>
        </is>
      </c>
    </row>
    <row r="8">
      <c r="A8" s="8" t="inlineStr">
        <is>
          <t>Docker backend: container_memory default is wrong for this VPS</t>
        </is>
      </c>
      <c r="B8" s="8" t="inlineStr">
        <is>
          <t>A concrete gotcha for CR-17 (Docker terminal backend, already locked in).</t>
        </is>
      </c>
      <c r="C8" s="8" t="inlineStr">
        <is>
          <t>`terminal.container_memory` defaults to 5120 (5GB) -- hermes-vps has 4GB total RAM. Must be explicitly set lower in config.yaml or Docker-backed commands risk OOM.</t>
        </is>
      </c>
      <c r="D8" s="8" t="inlineStr">
        <is>
          <t>Direct action item for whoever executes CR-17's remaining config -- not optional, the default will not work on this box.</t>
        </is>
      </c>
      <c r="E8" s="8" t="inlineStr">
        <is>
          <t>Actionable gotcha, not yet applied</t>
        </is>
      </c>
    </row>
    <row r="9">
      <c r="A9" s="8" t="inlineStr">
        <is>
          <t>Local model tool-calling: per-server flag requirements</t>
        </is>
      </c>
      <c r="B9" s="8" t="inlineStr">
        <is>
          <t>Tool calls silently render as unparseable text instead of executing unless the local inference server is started with the right flag -- directly relevant to LI-03/LI-04 (ik_llama.cpp locked in, Partial).</t>
        </is>
      </c>
      <c r="C9" s="8" t="inlineStr">
        <is>
          <t>llama.cpp/llama-server: needs `--jinja` or tool calls fail silently. vLLM: `--enable-auto-tool-choice --tool-call-parser hermes`. SGLang: `--tool-call-parser qwen`. Ollama: tool-calling is on by default but verify with `ollama show &lt;model&gt;`. LM Studio: needs v0.3.6+ with native tool-call support, and GGUF context-length metadata is often wrong (set manually in UI, min 16384, prefer 32768).</t>
        </is>
      </c>
      <c r="D9" s="8" t="inlineStr">
        <is>
          <t>ik_llama.cpp's own equivalent of --jinja has NOT been specifically verified (it's a fork, conventions may differ) -- check this before assuming tool-calling will just work once the runtime is up. Directly actionable for LI-07 benchmarking.</t>
        </is>
      </c>
      <c r="E9" s="8" t="inlineStr">
        <is>
          <t>Actionable gotcha, fork-specific flag unverified</t>
        </is>
      </c>
    </row>
    <row r="10">
      <c r="A10" s="8" t="inlineStr">
        <is>
          <t>Context length must usually be set explicitly</t>
        </is>
      </c>
      <c r="B10" s="8" t="inlineStr">
        <is>
          <t>Directly closes LI-06 (07_Local_Inference, 'Context window aligned with Hermes's floor', Not Started) -- now known exactly what to do.</t>
        </is>
      </c>
      <c r="C10" s="8" t="inlineStr">
        <is>
          <t>Hermes auto-detects context length from the server's /v1/models endpoint, but many local servers (Ollama especially) report wrong/low defaults (2048 is a common failure symptom). Fix: set `model.context_length` explicitly in config.yaml. Hermes's own stated minimum is 64k context for full feature support (voice, etc per one community flow). Ollama-specific gotcha: `ollama show` reports the model's MAXIMUM context, not the effective num_ctx actually configured -- these can differ.</t>
        </is>
      </c>
      <c r="D10" s="8" t="inlineStr">
        <is>
          <t>LI-06 can move to Done as soon as this explicit config value is set and verified against the actual runtime's real context window, not assumed from a model card.</t>
        </is>
      </c>
      <c r="E10" s="8" t="inlineStr">
        <is>
          <t>Actionable, directly closes LI-06</t>
        </is>
      </c>
    </row>
    <row r="11">
      <c r="A11" s="8" t="inlineStr">
        <is>
          <t>Security hardening is substantially built-in already (v0.13.0-v0.21.0)</t>
        </is>
      </c>
      <c r="B11" s="8" t="inlineStr">
        <is>
          <t>Directly relevant to 12_Security_Hardening -- much of what might be assumed to need custom work is already shipped and on by default, contingent on being current (CR-02 already confirms v0.21.5+).</t>
        </is>
      </c>
      <c r="C11" s="8" t="inlineStr">
        <is>
          <t>v0.21.0 made writes to protected agent-instruction files (AGENTS.md/CLAUDE.md/SOUL.md/.cursorrules/skills/memory) ALWAYS require approval by default (`security.protected_instruction_files: true`) -- closes the exact 'prompt-injected agent rewrites its own standing orders' vector. Browser tool has a built-in SSRF floor blocking cloud metadata endpoints. Supply-chain advisory scanning runs during install and on every plugin/skill install. Secret redaction is default-on for logs and `hermes debug share`. A REAL precedent exists for the unofficial-plugin risk already accepted for Obscura: the Blender MCP catalog entry was removed after an actual upstream supply-chain compromise.</t>
        </is>
      </c>
      <c r="D11" s="8" t="inlineStr">
        <is>
          <t>Action for SH-04/SH-06/SH-07: mostly a VERIFICATION task (confirm these defaults weren't disabled) rather than a build task. `hermes doctor` and `hermes security audit` (OSV.dev scan of venv/plugins/MCP servers) are the two commands to run first.</t>
        </is>
      </c>
      <c r="E11" s="8" t="inlineStr">
        <is>
          <t>Mostly already satisfied -- needs verification, not building</t>
        </is>
      </c>
    </row>
    <row r="12">
      <c r="A12" s="8" t="inlineStr">
        <is>
          <t>hermes import-agent</t>
        </is>
      </c>
      <c r="B12" s="8" t="inlineStr">
        <is>
          <t>A real, literal mechanism for this project's own stated end-goal (CLAUDE.md: 'this whole maintenance role eventually moves into Hermes itself').</t>
        </is>
      </c>
      <c r="C12" s="8" t="inlineStr">
        <is>
          <t>Imports an existing Claude Code (~/.claude) or Codex CLI (~/.codex) setup directly into a Hermes profile.</t>
        </is>
      </c>
      <c r="D12" s="8" t="inlineStr">
        <is>
          <t>Directly relevant to GV-02 (13_Governance_Change_Mgmt, 'Claude-Code-as-bootstrap sunset plan', Not Started) -- this may BE the sunset mechanism, not something to design from scratch.</t>
        </is>
      </c>
      <c r="E12" s="8" t="inlineStr">
        <is>
          <t>New finding, directly relevant to GV-02</t>
        </is>
      </c>
    </row>
    <row r="13">
      <c r="A13" s="8" t="inlineStr">
        <is>
          <t>CR-03 verification gotcha: systemd Linger</t>
        </is>
      </c>
      <c r="B13" s="8" t="inlineStr">
        <is>
          <t>A real risk that CR-03 ('hermes-gateway running persistently', marked Done) might not be as proven as assumed.</t>
        </is>
      </c>
      <c r="C13" s="8" t="inlineStr">
        <is>
          <t>A systemd --user gateway service only survives an actual REBOOT (not just logout) if `loginctl show-user $USER -p Linger` reports Linger=yes. A community walkthrough flagged this as the single most commonly-missed step. Full verification sequence: confirm `systemctl --user status hermes-gateway` is active, confirm Linger=yes, then actually reboot the box and message the bot without logging back in first.</t>
        </is>
      </c>
      <c r="D13" s="8" t="inlineStr">
        <is>
          <t>RECOMMEND re-verifying CR-03 with this exact checklist before trusting it's Done -- a service that LOOKS running can still fail to survive a real reboot if linger was never enabled.</t>
        </is>
      </c>
      <c r="E13" s="8" t="inlineStr">
        <is>
          <t>Verification gap flagged on a Done row</t>
        </is>
      </c>
    </row>
    <row r="14">
      <c r="A14" s="8" t="inlineStr">
        <is>
          <t>Telegram gateway: exact verified setup + verify sequence</t>
        </is>
      </c>
      <c r="B14" s="8" t="inlineStr">
        <is>
          <t>Closes IA-05 (Telegram channel, Partial) with a concrete, tested command sequence, not just 'get a bot token.'</t>
        </is>
      </c>
      <c r="C14" s="8" t="inlineStr">
        <is>
          <t>`hermes gateway setup` (writes config only, does NOT start anything) -&gt; test with `hermes gateway run` in foreground, confirm the log shows 'Connected to Telegram (polling mode)' and 'telegram connected' -&gt; Ctrl-C -&gt; `hermes gateway start` for the real managed service. Polling mode means no inbound firewall port needed beyond SSH (matches CR-04 firewall already active). `hermes gateway install` prompts [Y/n] interactively with no skip flag -- over non-interactive SSH, pipe answers: `printf 'n\nY\n' | hermes gateway install`.</t>
        </is>
      </c>
      <c r="D14" s="8" t="inlineStr">
        <is>
          <t>This is the exact remaining procedure for IA-05 -- no more research needed on this row, just execution once the BotFather token exists.</t>
        </is>
      </c>
      <c r="E14" s="8" t="inlineStr">
        <is>
          <t>Actionable, directly closes IA-05's remaining steps</t>
        </is>
      </c>
    </row>
    <row r="15">
      <c r="A15" s="8" t="inlineStr">
        <is>
          <t>SOUL.md: practical template</t>
        </is>
      </c>
      <c r="B15" s="8" t="inlineStr">
        <is>
          <t>Directly unblocks IM-01 (SOUL.md committed to hermes-vps, Not Started since the original drafted version was apparently never actually written to the box).</t>
        </is>
      </c>
      <c r="C15" s="8" t="inlineStr">
        <is>
          <t>Recommended structure (official starter pattern + community consensus): 4 sections -- Soul (1-2 sentences, who it is), Voice (3-5 lines, tone/style), Operations (3-5 lines, autonomy/decision rules), Restrictions (3-5 lines, hard boundaries). 50-80 lines total (~400-800 tokens/turn). `hermes prompt-size` shows the actual token breakdown once written. `system_message` in config.yaml is a secondary, non-identity slot for rules that don't belong in SOUL.md (API conventions, output format).</t>
        </is>
      </c>
      <c r="D15" s="8" t="inlineStr">
        <is>
          <t>Ready to draft and commit -- this was the single biggest blocker on IM-01 (not knowing the right shape/length), now resolved.</t>
        </is>
      </c>
      <c r="E15" s="8" t="inlineStr">
        <is>
          <t>Actionable, directly closes IM-01's main blocker</t>
        </is>
      </c>
    </row>
    <row r="16">
      <c r="A16" s="8" t="inlineStr">
        <is>
          <t>Architecture synthesis: the 8 loops</t>
        </is>
      </c>
      <c r="B16" s="8" t="inlineStr">
        <is>
          <t>A clean, independently-written map of every timescale Hermes operates on -- useful as the canonical reference for how D4/D5's pieces fit together.</t>
        </is>
      </c>
      <c r="C16" s="8" t="inlineStr">
        <is>
          <t>Core (ms-min, the turn loop) -&gt; Ralph/goal (min-hr, /goal judge) -&gt; Self-improvement (post-task, skill creation) -&gt; Curator (weekly, skill cleanup) -&gt; Memory (per-session + ongoing) -&gt; Kanban dispatcher (60s tick, multi-agent) -&gt; Compression (threshold-triggered, dual system: 85% char-based gateway safety net + 50% token-based primary) -&gt; Sub-agents (parallel, delegate_task). Confirms a DUAL compression system not previously known precisely.</t>
        </is>
      </c>
      <c r="D16" s="8" t="inlineStr">
        <is>
          <t>No new action items -- reference only, worth keeping as the one-page mental model when explaining the system to anyone else.</t>
        </is>
      </c>
      <c r="E16" s="8" t="inlineStr">
        <is>
          <t>Reference, no action needed</t>
        </is>
      </c>
    </row>
    <row r="17">
      <c r="A17" s="8" t="inlineStr">
        <is>
          <t>Hidden/lesser-known features worth knowing</t>
        </is>
      </c>
      <c r="B17" s="8" t="inlineStr">
        <is>
          <t>A community-sourced list of real, available features easy to miss.</t>
        </is>
      </c>
      <c r="C17" s="8" t="inlineStr">
        <is>
          <t>`/handoff &lt;platform&gt;` moves a LIVE session (same id, full transcript) between CLI/Telegram/Discord. `hermes -c` resumes the last CLI session by name. `/browser connect` attaches to your own already-running Chrome via CDP instead of a cloud browser. The dashboard exposes a REST API (GET /api/status, /api/sessions, /api/sessions/search, config/env CRUD) for scripted automation. `/steer` injects a course-correction mid-task without interrupting in-flight work (vs /queue and the default /interrupt). The bundled `claude-code` skill lets Hermes delegate one-shot coding tasks to Claude Code's own CLI via print mode.</t>
        </is>
      </c>
      <c r="D17" s="8" t="inlineStr">
        <is>
          <t>The REST API is relevant to GV-02/14_Claude_Code_Parity (a scriptable path for whatever this project's maintenance role becomes once it moves into Hermes). /handoff is relevant to 08_Interfaces_Access's 'same experience, two locations' test (IA-04).</t>
        </is>
      </c>
      <c r="E17" s="8" t="inlineStr">
        <is>
          <t>Reference, some relevant to IA-04/GV-02</t>
        </is>
      </c>
    </row>
    <row r="18">
      <c r="A18" s="8" t="inlineStr">
        <is>
          <t>Noted, not adopted: hermes-bootstrap (third-party)</t>
        </is>
      </c>
      <c r="B18" s="8" t="inlineStr">
        <is>
          <t>A community-built CLI+WebUI (github.com/swingkiddo/hermes_bootstrap) that provisions a BLANK VPS to a hardened Hermes install in one guided deploy (swap, Docker, SSH hardening, UFW, Fail2Ban, Telegram alerts) with automatic rollback.</t>
        </is>
      </c>
      <c r="C18" s="8" t="inlineStr">
        <is>
          <t>Not applicable here -- hermes-vps is already provisioned (CR-01-05 mostly Done), this tool is for zero-to-production on a fresh box. Also: unofficial, third-party, needs root password access to the target VPS -- same risk class already accepted for Obscura, but with a much bigger blast radius (full root).</t>
        </is>
      </c>
      <c r="D18" s="8" t="inlineStr">
        <is>
          <t>Its security checklist (SSH port change, Fail2Ban, UFW deny-by-default, login-alert-to-Telegram) is still a useful reference for HN-07/SH-05 even without using the tool itself.</t>
        </is>
      </c>
      <c r="E18" s="8" t="inlineStr">
        <is>
          <t>Noted only, not recommended to run</t>
        </is>
      </c>
    </row>
    <row r="19">
      <c r="A19" s="8" t="inlineStr">
        <is>
          <t>Credential pools confirmed</t>
        </is>
      </c>
      <c r="B19" s="8" t="inlineStr">
        <is>
          <t>Extends SV-16 (Hermes native vault + pools, logged but not detailed).</t>
        </is>
      </c>
      <c r="C19" s="8" t="inlineStr">
        <is>
          <t>`hermes auth add &lt;provider&gt; --api-key ...` registers an additional key for a provider already in use; `hermes auth list` shows them. Rotation strategies: fill_first (default), round_robin, least_used, random, set via `credential_pool_strategies` in config.yaml. Tried BEFORE the separate fallback_model config kicks in.</t>
        </is>
      </c>
      <c r="D19" s="8" t="inlineStr">
        <is>
          <t>No action needed now -- cheap resilience to add later if any provider (OpenRouter, Anthropic) is ever rate-limited in practice.</t>
        </is>
      </c>
      <c r="E19" s="8" t="inlineStr">
        <is>
          <t>Reference, not needed yet</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2026-10-05T00:54:10Z</dcterms:created>
  <dcterms:modified xsi:type="dcterms:W3CDTF">2026-10-06T15:27:22Z</dcterms:modified>
</cp:coreProperties>
</file>