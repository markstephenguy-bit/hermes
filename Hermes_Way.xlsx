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2">
    <border>
      <left/>
      <right/>
      <top/>
      <bottom/>
      <diagonal/>
    </border>
    <border>
      <left style="thin">
        <color rgb="00D8D4CC"/>
      </left>
      <right style="thin">
        <color rgb="00D8D4CC"/>
      </right>
      <top style="thin">
        <color rgb="00D8D4CC"/>
      </top>
      <bottom style="thin">
        <color rgb="00D8D4CC"/>
      </bottom>
    </border>
  </borders>
  <cellStyleXfs count="1">
    <xf numFmtId="0" fontId="0" fillId="0" borderId="0"/>
  </cellStyleXfs>
  <cellXfs count="17">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5" fillId="0" borderId="0" pivotButton="0" quotePrefix="0" xfId="0"/>
  </cellXfs>
  <cellStyles count="1">
    <cellStyle name="Normal" xfId="0" builtinId="0" hidden="0"/>
  </cellStyles>
  <dxfs count="8">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
      <font>
        <name val="Arial"/>
        <b val="1"/>
        <color rgb="00B3412A"/>
        <sz val="10"/>
      </font>
      <fill>
        <patternFill patternType="solid">
          <fgColor rgb="00F8E6E0"/>
        </patternFill>
      </fill>
    </dxf>
    <dxf>
      <font>
        <name val="Arial"/>
        <b val="1"/>
        <color rgb="009A2E13"/>
        <sz val="10"/>
      </font>
      <fill>
        <patternFill patternType="solid">
          <fgColor rgb="00F6D9C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E7C7B"/>
    <outlinePr summaryBelow="1" summaryRight="1"/>
    <pageSetUpPr/>
  </sheetPr>
  <dimension ref="A1:A58"/>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01-13), not by phase or timeline. Each row is one concrete,</t>
        </is>
      </c>
    </row>
    <row r="7">
      <c r="A7" s="3" t="inlineStr">
        <is>
          <t>checkable thing. This file is the database AND the working notes — edit it directly as facts change.</t>
        </is>
      </c>
    </row>
    <row r="8">
      <c r="A8" s="3" t="inlineStr"/>
    </row>
    <row r="9">
      <c r="A9" s="4" t="inlineStr">
        <is>
          <t>THE ONE RULE EVERYTHING IS CHECKED AGAINST</t>
        </is>
      </c>
    </row>
    <row r="10">
      <c r="A10" s="3" t="inlineStr">
        <is>
          <t>Hermes = hermes-vps. The home network (w_workstation, WireGuard, the local LLM, Salt, MeshCentral) is a</t>
        </is>
      </c>
    </row>
    <row r="11">
      <c r="A11" s="3" t="inlineStr">
        <is>
          <t>swappable CAPABILITY PROVIDER Hermes reaches over a tunnel — never a place Hermes itself runs, and never a</t>
        </is>
      </c>
    </row>
    <row r="12">
      <c r="A12" s="3" t="inlineStr">
        <is>
          <t>dependency for Hermes to be fully itself. If the tunnel drops, Hermes must still answer everything via Codex,</t>
        </is>
      </c>
    </row>
    <row r="13">
      <c r="A13" s="3" t="inlineStr">
        <is>
          <t>with the same identity and the same tools, automatically, with no manual step. 'Away from home' and 'at home'</t>
        </is>
      </c>
    </row>
    <row r="14">
      <c r="A14" s="3" t="inlineStr">
        <is>
          <t>are the same Hermes; only the inference backend underneath is allowed to differ.</t>
        </is>
      </c>
    </row>
    <row r="15">
      <c r="A15" s="3" t="inlineStr"/>
    </row>
    <row r="16">
      <c r="A16" s="3" t="inlineStr">
        <is>
          <t>COLUMN LEGEND (every 01-13 tab uses the same 10 columns)</t>
        </is>
      </c>
    </row>
    <row r="17">
      <c r="A17" s="5" t="inlineStr">
        <is>
          <t xml:space="preserve">  ID              short code per tab, e.g. CR-01, SV-08 — stable, don't renumber when inserting rows</t>
        </is>
      </c>
    </row>
    <row r="18">
      <c r="A18" s="5" t="inlineStr">
        <is>
          <t xml:space="preserve">  Feature          short name of the thing</t>
        </is>
      </c>
    </row>
    <row r="19">
      <c r="A19" s="5" t="inlineStr">
        <is>
          <t xml:space="preserve">  Description      execution-level detail: what file, what config key, what command, what 'done' means</t>
        </is>
      </c>
    </row>
    <row r="20">
      <c r="A20" s="5" t="inlineStr">
        <is>
          <t xml:space="preserve">  Must Live On      Hermes-VPS / Home-Network / Either-Bridge / N/A (process or doc, no host)</t>
        </is>
      </c>
    </row>
    <row r="21">
      <c r="A21" s="5" t="inlineStr">
        <is>
          <t xml:space="preserve">  Status           Done / Partial / Not Started / Risk / Violation (color-coded automatically)</t>
        </is>
      </c>
    </row>
    <row r="22">
      <c r="A22" s="5" t="inlineStr">
        <is>
          <t xml:space="preserve">  Evidence/Location  host, file path, config key, or catalog entity key backing the status claim</t>
        </is>
      </c>
    </row>
    <row r="23">
      <c r="A23" s="5" t="inlineStr">
        <is>
          <t xml:space="preserve">  Points           weight — bigger number = more load-bearing, not more effort</t>
        </is>
      </c>
    </row>
    <row r="24">
      <c r="A24" s="5" t="inlineStr">
        <is>
          <t xml:space="preserve">  Points Earned     formula: Done=100% of Points, Partial=50%, everything else=0% — don't hand-edit this column</t>
        </is>
      </c>
    </row>
    <row r="25">
      <c r="A25" s="5" t="inlineStr">
        <is>
          <t xml:space="preserve">  Owner Role        which role (see 00_Roles) is accountable for closing this row</t>
        </is>
      </c>
    </row>
    <row r="26">
      <c r="A26" s="5" t="inlineStr">
        <is>
          <t xml:space="preserve">  Notes/Next Action  what actually has to happen next</t>
        </is>
      </c>
    </row>
    <row r="27">
      <c r="A27" s="3" t="inlineStr"/>
    </row>
    <row r="28">
      <c r="A28" s="4" t="inlineStr">
        <is>
          <t>STATUS DEFINITIONS</t>
        </is>
      </c>
    </row>
    <row r="29">
      <c r="A29" s="5" t="inlineStr">
        <is>
          <t xml:space="preserve">  Done        verified true, with evidence, as of this session</t>
        </is>
      </c>
    </row>
    <row r="30">
      <c r="A30" s="5" t="inlineStr">
        <is>
          <t xml:space="preserve">  Partial      exists but incomplete, unverified, or only half-covers the feature</t>
        </is>
      </c>
    </row>
    <row r="31">
      <c r="A31" s="5" t="inlineStr">
        <is>
          <t xml:space="preserve">  Not Started  no work done yet</t>
        </is>
      </c>
    </row>
    <row r="32">
      <c r="A32" s="5" t="inlineStr">
        <is>
          <t xml:space="preserve">  Risk        exists and is live, but is a known exposure/problem by itself (not just 'missing')</t>
        </is>
      </c>
    </row>
    <row r="33">
      <c r="A33" s="5" t="inlineStr">
        <is>
          <t xml:space="preserve">  Violation    actively contradicts a Hermes Way standard (see 00_Hermes_Way_Standards) right now</t>
        </is>
      </c>
    </row>
    <row r="34">
      <c r="A34" s="3" t="inlineStr"/>
    </row>
    <row r="35">
      <c r="A35" s="4" t="inlineStr">
        <is>
          <t>HOW TO GROW THIS RECURSIVELY</t>
        </is>
      </c>
    </row>
    <row r="36">
      <c r="A36" s="3" t="inlineStr">
        <is>
          <t>Every time a new feature surfaces — from your own work, from another LLM's review of this sheet, or from</t>
        </is>
      </c>
    </row>
    <row r="37">
      <c r="A37" s="3" t="inlineStr">
        <is>
          <t>something breaking — add a row in the right tab with the next ID in sequence. If it doesn't fit any existing</t>
        </is>
      </c>
    </row>
    <row r="38">
      <c r="A38" s="3" t="inlineStr">
        <is>
          <t>tab, that's a signal a 14th tab may be needed; check it against 00_Hermes_Way_Standards first.</t>
        </is>
      </c>
    </row>
    <row r="39">
      <c r="A39" s="3" t="inlineStr"/>
    </row>
    <row r="40">
      <c r="A40" s="4" t="inlineStr">
        <is>
          <t>TAB MAP</t>
        </is>
      </c>
    </row>
    <row r="41">
      <c r="A41" s="5" t="inlineStr">
        <is>
          <t xml:space="preserve">  00_Read_Me                  this page</t>
        </is>
      </c>
    </row>
    <row r="42">
      <c r="A42" s="5" t="inlineStr">
        <is>
          <t xml:space="preserve">  00_Hermes_Way_Standards       the principles every row is checked against</t>
        </is>
      </c>
    </row>
    <row r="43">
      <c r="A43" s="5" t="inlineStr">
        <is>
          <t xml:space="preserve">  00_Roles                    who's accountable for what kind of row</t>
        </is>
      </c>
    </row>
    <row r="44">
      <c r="A44" s="5" t="inlineStr">
        <is>
          <t xml:space="preserve">  00_Scorecard                point totals, % complete, the finish line, and the legacy G1-G9 mapping</t>
        </is>
      </c>
    </row>
    <row r="45">
      <c r="A45" s="5" t="inlineStr">
        <is>
          <t xml:space="preserve">  01_Core_Runtime              what IS Hermes, on the VPS</t>
        </is>
      </c>
    </row>
    <row r="46">
      <c r="A46" s="5" t="inlineStr">
        <is>
          <t xml:space="preserve">  02_Identity_Memory            SOUL.md/USER.md, cross-interface continuity</t>
        </is>
      </c>
    </row>
    <row r="47">
      <c r="A47" s="5" t="inlineStr">
        <is>
          <t xml:space="preserve">  03_Model_Routing_Resilience    Codex-as-ceiling, local-down fire drill, routing logic</t>
        </is>
      </c>
    </row>
    <row r="48">
      <c r="A48" s="5" t="inlineStr">
        <is>
          <t xml:space="preserve">  04_Tool_MCP_Layer             MCP servers, one deployment per capability</t>
        </is>
      </c>
    </row>
    <row r="49">
      <c r="A49" s="5" t="inlineStr">
        <is>
          <t xml:space="preserve">  05_Secrets_Vault              every credential, vaulted or not</t>
        </is>
      </c>
    </row>
    <row r="50">
      <c r="A50" s="5" t="inlineStr">
        <is>
          <t xml:space="preserve">  06_Home_Network_Boundary       WireGuard, scope-creep check, gateway exposure</t>
        </is>
      </c>
    </row>
    <row r="51">
      <c r="A51" s="5" t="inlineStr">
        <is>
          <t xml:space="preserve">  07_Local_Inference            the w_workstation runtime/model decision</t>
        </is>
      </c>
    </row>
    <row r="52">
      <c r="A52" s="5" t="inlineStr">
        <is>
          <t xml:space="preserve">  08_Interfaces_Access          web UI, Desktop, Signal/Telegram</t>
        </is>
      </c>
    </row>
    <row r="53">
      <c r="A53" s="5" t="inlineStr">
        <is>
          <t xml:space="preserve">  09_Observability             health signals a human can actually see</t>
        </is>
      </c>
    </row>
    <row r="54">
      <c r="A54" s="5" t="inlineStr">
        <is>
          <t xml:space="preserve">  10_Backup_DR                 what survives a box dying</t>
        </is>
      </c>
    </row>
    <row r="55">
      <c r="A55" s="5" t="inlineStr">
        <is>
          <t xml:space="preserve">  11_Cost_Subscriptions         the actual point of the project</t>
        </is>
      </c>
    </row>
    <row r="56">
      <c r="A56" s="5" t="inlineStr">
        <is>
          <t xml:space="preserve">  12_Security_Hardening         closeable gaps, not debates</t>
        </is>
      </c>
    </row>
    <row r="57">
      <c r="A57" s="5" t="inlineStr">
        <is>
          <t xml:space="preserve">  13_Governance_Change_Mgmt      how this stays coherent as it grows</t>
        </is>
      </c>
    </row>
    <row r="58">
      <c r="A58" s="5" t="inlineStr">
        <is>
          <t xml:space="preserve">  14_Claude_Code_Parity         what Claude Code does today, mapped to the Hermes-native capability needed to retire it</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01-13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Where it's violated today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Signal.</t>
        </is>
      </c>
      <c r="D5" s="8" t="inlineStr">
        <is>
          <t>No</t>
        </is>
      </c>
      <c r="E5" s="8" t="inlineStr">
        <is>
          <t>02_Identity_Memory — session store not confirmed single, SOUL.md/USER.md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Signal/Telegram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SUM(01_Core_Runtime!G5:G18)</f>
        <v/>
      </c>
      <c r="D5" s="10">
        <f>SUM(01_Core_Runtime!H5:H18)</f>
        <v/>
      </c>
      <c r="E5" s="11">
        <f>IFERROR(D5/C5,0)</f>
        <v/>
      </c>
    </row>
    <row r="6">
      <c r="A6" s="10" t="inlineStr">
        <is>
          <t>02_Identity_Memory</t>
        </is>
      </c>
      <c r="B6" s="10" t="inlineStr">
        <is>
          <t>Identity &amp; Memory Continuity</t>
        </is>
      </c>
      <c r="C6" s="10">
        <f>SUM(02_Identity_Memory!G5:G12)</f>
        <v/>
      </c>
      <c r="D6" s="10">
        <f>SUM(02_Identity_Memory!H5:H12)</f>
        <v/>
      </c>
      <c r="E6" s="11">
        <f>IFERROR(D6/C6,0)</f>
        <v/>
      </c>
    </row>
    <row r="7">
      <c r="A7" s="10" t="inlineStr">
        <is>
          <t>03_Model_Routing_Resilience</t>
        </is>
      </c>
      <c r="B7" s="10" t="inlineStr">
        <is>
          <t>Model, Provider &amp; Resilience</t>
        </is>
      </c>
      <c r="C7" s="10">
        <f>SUM(03_Model_Routing_Resilience!G5:G16)</f>
        <v/>
      </c>
      <c r="D7" s="10">
        <f>SUM(03_Model_Routing_Resilience!H5:H16)</f>
        <v/>
      </c>
      <c r="E7" s="11">
        <f>IFERROR(D7/C7,0)</f>
        <v/>
      </c>
    </row>
    <row r="8">
      <c r="A8" s="10" t="inlineStr">
        <is>
          <t>04_Tool_MCP_Layer</t>
        </is>
      </c>
      <c r="B8" s="10" t="inlineStr">
        <is>
          <t>Tool / MCP Capability Layer</t>
        </is>
      </c>
      <c r="C8" s="10">
        <f>SUM(04_Tool_MCP_Layer!G5:G17)</f>
        <v/>
      </c>
      <c r="D8" s="10">
        <f>SUM(04_Tool_MCP_Layer!H5:H17)</f>
        <v/>
      </c>
      <c r="E8" s="11">
        <f>IFERROR(D8/C8,0)</f>
        <v/>
      </c>
    </row>
    <row r="9">
      <c r="A9" s="10" t="inlineStr">
        <is>
          <t>05_Secrets_Vault</t>
        </is>
      </c>
      <c r="B9" s="10" t="inlineStr">
        <is>
          <t>Secrets &amp; Vault</t>
        </is>
      </c>
      <c r="C9" s="10">
        <f>SUM(05_Secrets_Vault!G5:G17)</f>
        <v/>
      </c>
      <c r="D9" s="10">
        <f>SUM(05_Secrets_Vault!H5:H17)</f>
        <v/>
      </c>
      <c r="E9" s="11">
        <f>IFERROR(D9/C9,0)</f>
        <v/>
      </c>
    </row>
    <row r="10">
      <c r="A10" s="10" t="inlineStr">
        <is>
          <t>06_Home_Network_Boundary</t>
        </is>
      </c>
      <c r="B10" s="10" t="inlineStr">
        <is>
          <t>Home-Network Capability Boundary</t>
        </is>
      </c>
      <c r="C10" s="10">
        <f>SUM(06_Home_Network_Boundary!G5:G12)</f>
        <v/>
      </c>
      <c r="D10" s="10">
        <f>SUM(06_Home_Network_Boundary!H5:H12)</f>
        <v/>
      </c>
      <c r="E10" s="11">
        <f>IFERROR(D10/C10,0)</f>
        <v/>
      </c>
    </row>
    <row r="11">
      <c r="A11" s="10" t="inlineStr">
        <is>
          <t>07_Local_Inference</t>
        </is>
      </c>
      <c r="B11" s="10" t="inlineStr">
        <is>
          <t>Local Inference Tier</t>
        </is>
      </c>
      <c r="C11" s="10">
        <f>SUM(07_Local_Inference!G5:G16)</f>
        <v/>
      </c>
      <c r="D11" s="10">
        <f>SUM(07_Local_Inference!H5:H16)</f>
        <v/>
      </c>
      <c r="E11" s="11">
        <f>IFERROR(D11/C11,0)</f>
        <v/>
      </c>
    </row>
    <row r="12">
      <c r="A12" s="10" t="inlineStr">
        <is>
          <t>08_Interfaces_Access</t>
        </is>
      </c>
      <c r="B12" s="10" t="inlineStr">
        <is>
          <t>Interfaces &amp; Access Paths</t>
        </is>
      </c>
      <c r="C12" s="10">
        <f>SUM(08_Interfaces_Access!G5:G13)</f>
        <v/>
      </c>
      <c r="D12" s="10">
        <f>SUM(08_Interfaces_Access!H5:H13)</f>
        <v/>
      </c>
      <c r="E12" s="11">
        <f>IFERROR(D12/C12,0)</f>
        <v/>
      </c>
    </row>
    <row r="13">
      <c r="A13" s="10" t="inlineStr">
        <is>
          <t>09_Observability</t>
        </is>
      </c>
      <c r="B13" s="10" t="inlineStr">
        <is>
          <t>Observability</t>
        </is>
      </c>
      <c r="C13" s="10">
        <f>SUM(09_Observability!G5:G10)</f>
        <v/>
      </c>
      <c r="D13" s="10">
        <f>SUM(09_Observability!H5:H10)</f>
        <v/>
      </c>
      <c r="E13" s="11">
        <f>IFERROR(D13/C13,0)</f>
        <v/>
      </c>
    </row>
    <row r="14">
      <c r="A14" s="10" t="inlineStr">
        <is>
          <t>10_Backup_DR</t>
        </is>
      </c>
      <c r="B14" s="10" t="inlineStr">
        <is>
          <t>Backup &amp; Disaster Recovery</t>
        </is>
      </c>
      <c r="C14" s="10">
        <f>SUM(10_Backup_DR!G5:G10)</f>
        <v/>
      </c>
      <c r="D14" s="10">
        <f>SUM(10_Backup_DR!H5:H10)</f>
        <v/>
      </c>
      <c r="E14" s="11">
        <f>IFERROR(D14/C14,0)</f>
        <v/>
      </c>
    </row>
    <row r="15">
      <c r="A15" s="10" t="inlineStr">
        <is>
          <t>11_Cost_Subscriptions</t>
        </is>
      </c>
      <c r="B15" s="10" t="inlineStr">
        <is>
          <t>Cost &amp; Subscriptions</t>
        </is>
      </c>
      <c r="C15" s="10">
        <f>SUM(11_Cost_Subscriptions!G5:G10)</f>
        <v/>
      </c>
      <c r="D15" s="10">
        <f>SUM(11_Cost_Subscriptions!H5:H10)</f>
        <v/>
      </c>
      <c r="E15" s="11">
        <f>IFERROR(D15/C15,0)</f>
        <v/>
      </c>
    </row>
    <row r="16">
      <c r="A16" s="10" t="inlineStr">
        <is>
          <t>12_Security_Hardening</t>
        </is>
      </c>
      <c r="B16" s="10" t="inlineStr">
        <is>
          <t>Security &amp; Hardening</t>
        </is>
      </c>
      <c r="C16" s="10">
        <f>SUM(12_Security_Hardening!G5:G12)</f>
        <v/>
      </c>
      <c r="D16" s="10">
        <f>SUM(12_Security_Hardening!H5:H12)</f>
        <v/>
      </c>
      <c r="E16" s="11">
        <f>IFERROR(D16/C16,0)</f>
        <v/>
      </c>
    </row>
    <row r="17">
      <c r="A17" s="10" t="inlineStr">
        <is>
          <t>13_Governance_Change_Mgmt</t>
        </is>
      </c>
      <c r="B17" s="10" t="inlineStr">
        <is>
          <t>Governance &amp; Change Management</t>
        </is>
      </c>
      <c r="C17" s="10">
        <f>SUM(13_Governance_Change_Mgmt!G5:G10)</f>
        <v/>
      </c>
      <c r="D17" s="10">
        <f>SUM(13_Governance_Change_Mgmt!H5:H10)</f>
        <v/>
      </c>
      <c r="E17" s="11">
        <f>IFERROR(D17/C17,0)</f>
        <v/>
      </c>
    </row>
    <row r="18">
      <c r="A18" s="10" t="inlineStr">
        <is>
          <t>14_Claude_Code_Parity</t>
        </is>
      </c>
      <c r="B18" s="10" t="inlineStr">
        <is>
          <t>Claude Code → Hermes Parity</t>
        </is>
      </c>
      <c r="C18" s="10">
        <f>SUM(14_Claude_Code_Parity!G5:G16)</f>
        <v/>
      </c>
      <c r="D18" s="10">
        <f>SUM(14_Claude_Code_Parity!H5:H16)</f>
        <v/>
      </c>
      <c r="E18" s="11">
        <f>IFERROR(D18/C18,0)</f>
        <v/>
      </c>
    </row>
    <row r="19">
      <c r="A19" s="12" t="inlineStr">
        <is>
          <t>GRAND TOTAL</t>
        </is>
      </c>
      <c r="B19" s="13" t="n"/>
      <c r="C19" s="12">
        <f>SUM(C5:C18)</f>
        <v/>
      </c>
      <c r="D19" s="12">
        <f>SUM(D5:D18)</f>
        <v/>
      </c>
      <c r="E19" s="14">
        <f>IFERROR(D19/C19,0)</f>
        <v/>
      </c>
    </row>
    <row r="21">
      <c r="A21" s="15" t="inlineStr">
        <is>
          <t>FINISH LINE</t>
        </is>
      </c>
    </row>
    <row r="22">
      <c r="A22" s="3" t="inlineStr">
        <is>
          <t>Hermes is 'fully realized' when ALL of the following are true at once — not just an overall percentage:</t>
        </is>
      </c>
    </row>
    <row r="23">
      <c r="A23" s="3" t="inlineStr">
        <is>
          <t xml:space="preserve">  1. Grand Total % Complete above is 100%, or every remaining open row is a deliberately-accepted Risk (not a Not Started).</t>
        </is>
      </c>
    </row>
    <row r="24">
      <c r="A24" s="3" t="inlineStr">
        <is>
          <t xml:space="preserve">  2. Zero rows anywhere are still status = Violation.</t>
        </is>
      </c>
    </row>
    <row r="25">
      <c r="A25" s="3" t="inlineStr">
        <is>
          <t xml:space="preserve">  3. 03_Model_Routing_Resilience row MR-05 (WireGuard-down fire drill) is Done — this is the actual proof of the core promise.</t>
        </is>
      </c>
    </row>
    <row r="26">
      <c r="A26" s="3" t="inlineStr">
        <is>
          <t xml:space="preserve">  4. 02_Identity_Memory rows IM-01 through IM-04 are Done — same Hermes, every interface, every location.</t>
        </is>
      </c>
    </row>
    <row r="27">
      <c r="A27" s="3" t="inlineStr">
        <is>
          <t xml:space="preserve">  5. Only then: 11_Cost_Subscriptions CS-03 (cancel Claude Pro) gets executed.</t>
        </is>
      </c>
    </row>
    <row r="28">
      <c r="A28" s="3" t="inlineStr">
        <is>
          <t xml:space="preserve">  6. 14_Claude_Code_Parity row CCP-12 is Done — Hermes can maintain this project itself, so Claude Code's bootstrap role actually ends, not just gets described as temporary.</t>
        </is>
      </c>
    </row>
    <row r="30">
      <c r="A30" s="15" t="inlineStr">
        <is>
          <t>LEGACY GOALS (catalog G1-G9) MAPPED TO THIS WORKBOOK</t>
        </is>
      </c>
    </row>
    <row r="31">
      <c r="A31" s="9" t="inlineStr">
        <is>
          <t>Goal</t>
        </is>
      </c>
      <c r="B31" s="9" t="inlineStr">
        <is>
          <t>Catalog status</t>
        </is>
      </c>
      <c r="C31" s="9" t="inlineStr">
        <is>
          <t>What it actually required</t>
        </is>
      </c>
      <c r="D31" s="9" t="inlineStr">
        <is>
          <t>Where that lives now</t>
        </is>
      </c>
    </row>
    <row r="33">
      <c r="A33" s="8" t="inlineStr">
        <is>
          <t>G1 — Hermes &lt;-&gt; local model, one real exchange</t>
        </is>
      </c>
      <c r="B33" s="8" t="inlineStr">
        <is>
          <t>in_progress</t>
        </is>
      </c>
      <c r="C33" s="8" t="inlineStr">
        <is>
          <t>Confirmed reachable + one real exchange with the local model.</t>
        </is>
      </c>
      <c r="D33" s="8" t="inlineStr">
        <is>
          <t>03_Model_Routing_Resilience (will need re-verification once 07_Local_Inference's runtime changes)</t>
        </is>
      </c>
    </row>
    <row r="34">
      <c r="A34" s="8" t="inlineStr">
        <is>
          <t>G2 — local runtime serving multiple models concurrently</t>
        </is>
      </c>
      <c r="B34" s="8" t="inlineStr">
        <is>
          <t>done (stale)</t>
        </is>
      </c>
      <c r="C34" s="8" t="inlineStr">
        <is>
          <t>Verified on Ollama, multiple qwen3-vl variants loaded.</t>
        </is>
      </c>
      <c r="D34" s="8" t="inlineStr">
        <is>
          <t>07_Local_Inference LI-03/LI-04 — must be re-proven on whichever runtime replaces Ollama</t>
        </is>
      </c>
    </row>
    <row r="35">
      <c r="A35" s="8" t="inlineStr">
        <is>
          <t>G3 — VPS provisioned, hermes serve running</t>
        </is>
      </c>
      <c r="B35" s="8" t="inlineStr">
        <is>
          <t>done</t>
        </is>
      </c>
      <c r="C35" s="8" t="inlineStr">
        <is>
          <t>Box up, agent process live.</t>
        </is>
      </c>
      <c r="D35" s="8" t="inlineStr">
        <is>
          <t>01_Core_Runtime CR-01 to CR-03</t>
        </is>
      </c>
    </row>
    <row r="36">
      <c r="A36" s="8" t="inlineStr">
        <is>
          <t>G4 — WireGuard tunnel, LAN reachable from VPS</t>
        </is>
      </c>
      <c r="B36" s="8" t="inlineStr">
        <is>
          <t>done</t>
        </is>
      </c>
      <c r="C36" s="8" t="inlineStr">
        <is>
          <t>Tunnel + subnet routing, verified end-to-end.</t>
        </is>
      </c>
      <c r="D36" s="8" t="inlineStr">
        <is>
          <t>06_Home_Network_Boundary HN-01/HN-02</t>
        </is>
      </c>
    </row>
    <row r="37">
      <c r="A37" s="8" t="inlineStr">
        <is>
          <t>G5 — ChatGPT Plus linked, Codex used for real task</t>
        </is>
      </c>
      <c r="B37" s="8" t="inlineStr">
        <is>
          <t>done</t>
        </is>
      </c>
      <c r="C37" s="8" t="inlineStr">
        <is>
          <t>Native link+code flow, one real coding task.</t>
        </is>
      </c>
      <c r="D37" s="8" t="inlineStr">
        <is>
          <t>03_Model_Routing_Resilience MR-01</t>
        </is>
      </c>
    </row>
    <row r="38">
      <c r="A38" s="8" t="inlineStr">
        <is>
          <t>G6 — Hermes Desktop on laptop, same experience 2 locations</t>
        </is>
      </c>
      <c r="B38" s="8" t="inlineStr">
        <is>
          <t>not_started</t>
        </is>
      </c>
      <c r="C38" s="8" t="inlineStr">
        <is>
          <t>Desktop pointed at VPS backend, proven identical from two places.</t>
        </is>
      </c>
      <c r="D38" s="8" t="inlineStr">
        <is>
          <t>08_Interfaces_Access IA-03/IA-04, blocked on 02_Identity_Memory IM-03</t>
        </is>
      </c>
    </row>
    <row r="39">
      <c r="A39" s="8" t="inlineStr">
        <is>
          <t>G7 — Signal/Telegram wired up</t>
        </is>
      </c>
      <c r="B39" s="8" t="inlineStr">
        <is>
          <t>not_started</t>
        </is>
      </c>
      <c r="C39" s="8" t="inlineStr">
        <is>
          <t>A real messaging channel on top of hermes-gateway.</t>
        </is>
      </c>
      <c r="D39" s="8" t="inlineStr">
        <is>
          <t>08_Interfaces_Access IA-05</t>
        </is>
      </c>
    </row>
    <row r="40">
      <c r="A40" s="8" t="inlineStr">
        <is>
          <t>G8 — local-first routing verified end-to-end</t>
        </is>
      </c>
      <c r="B40" s="8" t="inlineStr">
        <is>
          <t>not_started (likely already true, never marked)</t>
        </is>
      </c>
      <c r="C40" s="8" t="inlineStr">
        <is>
          <t>One prompt stays local, one escalates, both observed.</t>
        </is>
      </c>
      <c r="D40" s="8" t="inlineStr">
        <is>
          <t>03_Model_Routing_Resilience — router-llm-as-judge-rebuild-2026-09-28 log entry already shows this; update the catalog goal status</t>
        </is>
      </c>
    </row>
    <row r="41">
      <c r="A41" s="8" t="inlineStr">
        <is>
          <t>G9 — Claude Pro canceled</t>
        </is>
      </c>
      <c r="B41" s="8" t="inlineStr">
        <is>
          <t>not_started</t>
        </is>
      </c>
      <c r="C41" s="8" t="inlineStr">
        <is>
          <t>Cancel once ChatGPT Plus/Codex covers the same ground.</t>
        </is>
      </c>
      <c r="D41" s="8" t="inlineStr">
        <is>
          <t>11_Cost_Subscriptions CS-03 — the literal finish line</t>
        </is>
      </c>
    </row>
  </sheetData>
  <mergeCells count="9">
    <mergeCell ref="A26:E26"/>
    <mergeCell ref="A24:E24"/>
    <mergeCell ref="A2:E2"/>
    <mergeCell ref="A25:E25"/>
    <mergeCell ref="A28:E28"/>
    <mergeCell ref="A1:E1"/>
    <mergeCell ref="A23:E23"/>
    <mergeCell ref="A22:E22"/>
    <mergeCell ref="A27:E27"/>
  </mergeCells>
  <conditionalFormatting sqref="E5:E19">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image installed</t>
        </is>
      </c>
      <c r="C6" s="8" t="inlineStr">
        <is>
          <t>Official Nous Research HermesAgent Ubuntu 24.04 marketplace image, hermes-agent v0.19.0.</t>
        </is>
      </c>
      <c r="D6" s="8" t="inlineStr">
        <is>
          <t>Hermes-VPS</t>
        </is>
      </c>
      <c r="E6" s="8" t="inlineStr">
        <is>
          <t>Done</t>
        </is>
      </c>
      <c r="F6" s="8" t="inlineStr">
        <is>
          <t>hermes-vps</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t>
        </is>
      </c>
      <c r="G7" s="8" t="n">
        <v>8</v>
      </c>
      <c r="H7" s="8">
        <f>IF(E7="Done",G7,IF(E7="Partial",G7*0.5,0))</f>
        <v/>
      </c>
      <c r="I7" s="8" t="inlineStr">
        <is>
          <t>Platform/SRE</t>
        </is>
      </c>
      <c r="J7" s="8" t="inlineStr"/>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Violation</t>
        </is>
      </c>
      <c r="F13" s="8" t="inlineStr">
        <is>
          <t>catalog hosts/services tables — missing</t>
        </is>
      </c>
      <c r="G13" s="8" t="n">
        <v>8</v>
      </c>
      <c r="H13" s="8">
        <f>IF(E13="Done",G13,IF(E13="Partial",G13*0.5,0))</f>
        <v/>
      </c>
      <c r="I13" s="8" t="inlineStr">
        <is>
          <t>Platform/SRE</t>
        </is>
      </c>
      <c r="J13" s="8" t="inlineStr">
        <is>
          <t>Add hermes-vps as a host row, Caddy/Dokploy/gateway/router as service rows</t>
        </is>
      </c>
    </row>
    <row r="14">
      <c r="A14" s="8" t="inlineStr">
        <is>
          <t>CR-10</t>
        </is>
      </c>
      <c r="B14" s="8" t="inlineStr">
        <is>
          <t>OS/package patch cadence defined</t>
        </is>
      </c>
      <c r="C14" s="8" t="inlineStr">
        <is>
          <t>No documented policy for when/how the VPS gets security patches.</t>
        </is>
      </c>
      <c r="D14" s="8" t="inlineStr">
        <is>
          <t>Hermes-VPS</t>
        </is>
      </c>
      <c r="E14" s="8" t="inlineStr">
        <is>
          <t>Not Started</t>
        </is>
      </c>
      <c r="F14" s="8" t="inlineStr"/>
      <c r="G14" s="8" t="n">
        <v>5</v>
      </c>
      <c r="H14" s="8">
        <f>IF(E14="Done",G14,IF(E14="Partial",G14*0.5,0))</f>
        <v/>
      </c>
      <c r="I14" s="8" t="inlineStr">
        <is>
          <t>Platform/SRE</t>
        </is>
      </c>
      <c r="J14" s="8" t="inlineStr"/>
    </row>
    <row r="15">
      <c r="A15" s="8" t="inlineStr">
        <is>
          <t>CR-11</t>
        </is>
      </c>
      <c r="B15" s="8" t="inlineStr">
        <is>
          <t>hermes-agent version pin + upgrade process</t>
        </is>
      </c>
      <c r="C15" s="8" t="inlineStr">
        <is>
          <t>What triggers an upgrade, how it's tested before cutover.</t>
        </is>
      </c>
      <c r="D15" s="8" t="inlineStr">
        <is>
          <t>Hermes-VPS</t>
        </is>
      </c>
      <c r="E15" s="8" t="inlineStr">
        <is>
          <t>Not Started</t>
        </is>
      </c>
      <c r="F15" s="8" t="inlineStr"/>
      <c r="G15" s="8" t="n">
        <v>5</v>
      </c>
      <c r="H15" s="8">
        <f>IF(E15="Done",G15,IF(E15="Partial",G15*0.5,0))</f>
        <v/>
      </c>
      <c r="I15" s="8" t="inlineStr">
        <is>
          <t>Platform/SRE</t>
        </is>
      </c>
      <c r="J15" s="8" t="inlineStr"/>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Not Started</t>
        </is>
      </c>
      <c r="F16" s="8" t="inlineStr"/>
      <c r="G16" s="8" t="n">
        <v>5</v>
      </c>
      <c r="H16" s="8">
        <f>IF(E16="Done",G16,IF(E16="Partial",G16*0.5,0))</f>
        <v/>
      </c>
      <c r="I16" s="8" t="inlineStr">
        <is>
          <t>Platform/SRE</t>
        </is>
      </c>
      <c r="J16" s="8" t="inlineStr"/>
    </row>
    <row r="17">
      <c r="A17" s="8" t="inlineStr">
        <is>
          <t>CR-13</t>
        </is>
      </c>
      <c r="B17" s="8" t="inlineStr">
        <is>
          <t>config.yaml edits via comment-preserving method</t>
        </is>
      </c>
      <c r="C17" s="8" t="inlineStr">
        <is>
          <t>A prior full parse+dump via PyYAML silently stripped all comments; switch to ruamel.yaml or targeted text edits.</t>
        </is>
      </c>
      <c r="D17" s="8" t="inlineStr">
        <is>
          <t>Hermes-VPS</t>
        </is>
      </c>
      <c r="E17" s="8" t="inlineStr">
        <is>
          <t>Not Started</t>
        </is>
      </c>
      <c r="F17" s="8" t="inlineStr">
        <is>
          <t>scripts/ — no helper exists yet</t>
        </is>
      </c>
      <c r="G17" s="8" t="n">
        <v>3</v>
      </c>
      <c r="H17" s="8">
        <f>IF(E17="Done",G17,IF(E17="Partial",G17*0.5,0))</f>
        <v/>
      </c>
      <c r="I17" s="8" t="inlineStr">
        <is>
          <t>Platform/SRE</t>
        </is>
      </c>
      <c r="J17" s="8" t="inlineStr">
        <is>
          <t>config-yaml-comments-stripped-2026-09-30 incident</t>
        </is>
      </c>
    </row>
    <row r="18">
      <c r="A18" s="8" t="inlineStr">
        <is>
          <t>CR-14</t>
        </is>
      </c>
      <c r="B18" s="8" t="inlineStr">
        <is>
          <t>Staged config changes</t>
        </is>
      </c>
      <c r="C18" s="8" t="inlineStr">
        <is>
          <t>A way to validate a config.yaml change before it hits the live gateway (even a dry-run diff), so a bad edit doesn't take down the running agent.</t>
        </is>
      </c>
      <c r="D18" s="8" t="inlineStr">
        <is>
          <t>Hermes-VPS</t>
        </is>
      </c>
      <c r="E18" s="8" t="inlineStr">
        <is>
          <t>Not Started</t>
        </is>
      </c>
      <c r="F18" s="8" t="inlineStr"/>
      <c r="G18" s="8" t="n">
        <v>5</v>
      </c>
      <c r="H18" s="8">
        <f>IF(E18="Done",G18,IF(E18="Partial",G18*0.5,0))</f>
        <v/>
      </c>
      <c r="I18" s="8" t="inlineStr">
        <is>
          <t>Hermes Design Specialist</t>
        </is>
      </c>
      <c r="J18" s="8" t="inlineStr"/>
    </row>
    <row r="20">
      <c r="B20" s="16" t="inlineStr">
        <is>
          <t>TAB TOTAL</t>
        </is>
      </c>
      <c r="G20" s="16">
        <f>SUM(G5:G18)</f>
        <v/>
      </c>
      <c r="H20" s="16">
        <f>SUM(H5:H18)</f>
        <v/>
      </c>
      <c r="I20" s="16">
        <f>TEXT(H20/G20,"0%")&amp;" complete"</f>
        <v/>
      </c>
    </row>
  </sheetData>
  <mergeCells count="2">
    <mergeCell ref="A1:J1"/>
    <mergeCell ref="A2:J2"/>
  </mergeCells>
  <conditionalFormatting sqref="E5:E18">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6.xml><?xml version="1.0" encoding="utf-8"?>
<worksheet xmlns="http://schemas.openxmlformats.org/spreadsheetml/2006/main">
  <sheetPr>
    <tabColor rgb="000E7C7B"/>
    <outlinePr summaryBelow="1" summaryRight="1"/>
    <pageSetUpPr/>
  </sheetPr>
  <dimension ref="A1:J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Drafted in conversation, never actually written to the box.</t>
        </is>
      </c>
      <c r="D5" s="8" t="inlineStr">
        <is>
          <t>Hermes-VPS</t>
        </is>
      </c>
      <c r="E5" s="8" t="inlineStr">
        <is>
          <t>Not Started</t>
        </is>
      </c>
      <c r="F5" s="8" t="inlineStr">
        <is>
          <t>hermes-vps filesystem</t>
        </is>
      </c>
      <c r="G5" s="8" t="n">
        <v>10</v>
      </c>
      <c r="H5" s="8">
        <f>IF(E5="Done",G5,IF(E5="Partial",G5*0.5,0))</f>
        <v/>
      </c>
      <c r="I5" s="8" t="inlineStr">
        <is>
          <t>Hermes Design Specialist</t>
        </is>
      </c>
      <c r="J5" s="8" t="inlineStr"/>
    </row>
    <row r="6">
      <c r="A6" s="8" t="inlineStr">
        <is>
          <t>IM-02</t>
        </is>
      </c>
      <c r="B6" s="8" t="inlineStr">
        <is>
          <t>USER.md committed to hermes-vps</t>
        </is>
      </c>
      <c r="C6" s="8" t="inlineStr">
        <is>
          <t>Same status — drafted, never committed.</t>
        </is>
      </c>
      <c r="D6" s="8" t="inlineStr">
        <is>
          <t>Hermes-VPS</t>
        </is>
      </c>
      <c r="E6" s="8" t="inlineStr">
        <is>
          <t>Not Started</t>
        </is>
      </c>
      <c r="F6" s="8" t="inlineStr">
        <is>
          <t>hermes-vps filesystem</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Signal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row>
    <row r="9">
      <c r="A9" s="8" t="inlineStr">
        <is>
          <t>IM-05</t>
        </is>
      </c>
      <c r="B9" s="8" t="inlineStr">
        <is>
          <t>Hermes-native long-term memory</t>
        </is>
      </c>
      <c r="C9" s="8" t="inlineStr">
        <is>
          <t>Decision/context memory currently lives in Claude Code's bootstrap catalog habit, not in Hermes itself — per CLAUDE.md this role is meant to move into Hermes eventually.</t>
        </is>
      </c>
      <c r="D9" s="8" t="inlineStr">
        <is>
          <t>Hermes-VPS</t>
        </is>
      </c>
      <c r="E9" s="8" t="inlineStr">
        <is>
          <t>Not Started</t>
        </is>
      </c>
      <c r="F9" s="8" t="inlineStr">
        <is>
          <t>catalog (temporary) -&gt; Hermes (target)</t>
        </is>
      </c>
      <c r="G9" s="8" t="n">
        <v>8</v>
      </c>
      <c r="H9" s="8">
        <f>IF(E9="Done",G9,IF(E9="Partial",G9*0.5,0))</f>
        <v/>
      </c>
      <c r="I9" s="8" t="inlineStr">
        <is>
          <t>Hermes Design Specialist</t>
        </is>
      </c>
      <c r="J9" s="8" t="inlineStr"/>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What Hermes keeps forever vs. prunes — not defined anywhere yet.</t>
        </is>
      </c>
      <c r="D11" s="8" t="inlineStr">
        <is>
          <t>N/A (process/doc)</t>
        </is>
      </c>
      <c r="E11" s="8" t="inlineStr">
        <is>
          <t>Not Started</t>
        </is>
      </c>
      <c r="F11" s="8" t="inlineStr"/>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4">
      <c r="B14" s="16" t="inlineStr">
        <is>
          <t>TAB TOTAL</t>
        </is>
      </c>
      <c r="G14" s="16">
        <f>SUM(G5:G12)</f>
        <v/>
      </c>
      <c r="H14" s="16">
        <f>SUM(H5:H12)</f>
        <v/>
      </c>
      <c r="I14" s="16">
        <f>TEXT(H14/G14,"0%")&amp;" complete"</f>
        <v/>
      </c>
    </row>
  </sheetData>
  <mergeCells count="2">
    <mergeCell ref="A1:J1"/>
    <mergeCell ref="A2:J2"/>
  </mergeCells>
  <conditionalFormatting sqref="E5:E12">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7.xml><?xml version="1.0" encoding="utf-8"?>
<worksheet xmlns="http://schemas.openxmlformats.org/spreadsheetml/2006/main">
  <sheetPr>
    <tabColor rgb="000E7C7B"/>
    <outlinePr summaryBelow="1" summaryRight="1"/>
    <pageSetUpPr/>
  </sheetPr>
  <dimension ref="A1:J1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t>
        </is>
      </c>
      <c r="C9" s="8" t="inlineStr">
        <is>
          <t>Nobody has pulled the tunnel mid-conversation and confirmed Hermes still answers via Codex automatically. 'Fails open to local' on a judge timeout is not proven to hold when the underlying connection itself is down.</t>
        </is>
      </c>
      <c r="D9" s="8" t="inlineStr">
        <is>
          <t>Hermes-VPS</t>
        </is>
      </c>
      <c r="E9" s="8" t="inlineStr">
        <is>
          <t>Not Started</t>
        </is>
      </c>
      <c r="F9" s="8" t="inlineStr"/>
      <c r="G9" s="8" t="n">
        <v>15</v>
      </c>
      <c r="H9" s="8">
        <f>IF(E9="Done",G9,IF(E9="Partial",G9*0.5,0))</f>
        <v/>
      </c>
      <c r="I9" s="8" t="inlineStr">
        <is>
          <t>Model/Routing Engineer</t>
        </is>
      </c>
      <c r="J9" s="8" t="inlineStr">
        <is>
          <t>CRITICAL — 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MR-11</t>
        </is>
      </c>
      <c r="B15" s="8" t="inlineStr">
        <is>
          <t>Retry/backoff policy documented</t>
        </is>
      </c>
      <c r="C15" s="8" t="inlineStr">
        <is>
          <t>Transient local error vs. hard failure should not be handled identically.</t>
        </is>
      </c>
      <c r="D15" s="8" t="inlineStr">
        <is>
          <t>Hermes-VPS</t>
        </is>
      </c>
      <c r="E15" s="8" t="inlineStr">
        <is>
          <t>Not Started</t>
        </is>
      </c>
      <c r="F15" s="8" t="inlineStr"/>
      <c r="G15" s="8" t="n">
        <v>3</v>
      </c>
      <c r="H15" s="8">
        <f>IF(E15="Done",G15,IF(E15="Partial",G15*0.5,0))</f>
        <v/>
      </c>
      <c r="I15" s="8" t="inlineStr">
        <is>
          <t>Model/Routing Engineer</t>
        </is>
      </c>
      <c r="J15" s="8" t="inlineStr"/>
    </row>
    <row r="16">
      <c r="A16" s="8" t="inlineStr">
        <is>
          <t>MR-12</t>
        </is>
      </c>
      <c r="B16" s="8" t="inlineStr">
        <is>
          <t>Routing-decision log retention policy</t>
        </is>
      </c>
      <c r="C16" s="8" t="inlineStr">
        <is>
          <t>complexity_router.log exists and records every verdict, but nothing rotates or retains it deliberately.</t>
        </is>
      </c>
      <c r="D16" s="8" t="inlineStr">
        <is>
          <t>Hermes-VPS</t>
        </is>
      </c>
      <c r="E16" s="8" t="inlineStr">
        <is>
          <t>Partial</t>
        </is>
      </c>
      <c r="F16" s="8" t="inlineStr">
        <is>
          <t>/home/hermes/.hermes/logs/complexity_router.log</t>
        </is>
      </c>
      <c r="G16" s="8" t="n">
        <v>3</v>
      </c>
      <c r="H16" s="8">
        <f>IF(E16="Done",G16,IF(E16="Partial",G16*0.5,0))</f>
        <v/>
      </c>
      <c r="I16" s="8" t="inlineStr">
        <is>
          <t>Observability</t>
        </is>
      </c>
      <c r="J16" s="8" t="inlineStr"/>
    </row>
    <row r="18">
      <c r="B18" s="16" t="inlineStr">
        <is>
          <t>TAB TOTAL</t>
        </is>
      </c>
      <c r="G18" s="16">
        <f>SUM(G5:G16)</f>
        <v/>
      </c>
      <c r="H18" s="16">
        <f>SUM(H5:H16)</f>
        <v/>
      </c>
      <c r="I18" s="16">
        <f>TEXT(H18/G18,"0%")&amp;" complete"</f>
        <v/>
      </c>
    </row>
  </sheetData>
  <mergeCells count="2">
    <mergeCell ref="A1:J1"/>
    <mergeCell ref="A2:J2"/>
  </mergeCells>
  <conditionalFormatting sqref="E5:E16">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8.xml><?xml version="1.0" encoding="utf-8"?>
<worksheet xmlns="http://schemas.openxmlformats.org/spreadsheetml/2006/main">
  <sheetPr>
    <tabColor rgb="000E7C7B"/>
    <outlinePr summaryBelow="1" summaryRight="1"/>
    <pageSetUpPr/>
  </sheetPr>
  <dimension ref="A1:J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bug</t>
        </is>
      </c>
      <c r="C7" s="8" t="inlineStr">
        <is>
          <t>Model inconsistently recognizes the tool exists across invocation modes (chat -q vs -z --cli) — root cause not isolated.</t>
        </is>
      </c>
      <c r="D7" s="8" t="inlineStr">
        <is>
          <t>Hermes-VPS</t>
        </is>
      </c>
      <c r="E7" s="8" t="inlineStr">
        <is>
          <t>Risk</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t>
        </is>
      </c>
      <c r="D10" s="8" t="inlineStr">
        <is>
          <t>Hermes-VPS</t>
        </is>
      </c>
      <c r="E10" s="8" t="inlineStr">
        <is>
          <t>Violation</t>
        </is>
      </c>
      <c r="F10" s="8" t="inlineStr">
        <is>
          <t>4x — see 05_Secrets_Vault notes</t>
        </is>
      </c>
      <c r="G10" s="8" t="n">
        <v>12</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web search / image gen / TTS / browser automation / 5 sandboxed exec backends ship with hermes-agent — never confirmed actually credentialed vs. just theoretically available.</t>
        </is>
      </c>
      <c r="D11" s="8" t="inlineStr">
        <is>
          <t>Hermes-VPS</t>
        </is>
      </c>
      <c r="E11" s="8" t="inlineStr">
        <is>
          <t>Not Started</t>
        </is>
      </c>
      <c r="F11" s="8" t="inlineStr"/>
      <c r="G11" s="8" t="n">
        <v>8</v>
      </c>
      <c r="H11" s="8">
        <f>IF(E11="Done",G11,IF(E11="Partial",G11*0.5,0))</f>
        <v/>
      </c>
      <c r="I11" s="8" t="inlineStr">
        <is>
          <t>Platform/SRE</t>
        </is>
      </c>
      <c r="J11" s="8" t="inlineStr"/>
    </row>
    <row r="12">
      <c r="A12" s="8" t="inlineStr">
        <is>
          <t>TM-08</t>
        </is>
      </c>
      <c r="B12" s="8" t="inlineStr">
        <is>
          <t>MeshCentral device agents enrolled</t>
        </is>
      </c>
      <c r="C12" s="8" t="inlineStr">
        <is>
          <t>Container's been running since July with zero devices actually connected.</t>
        </is>
      </c>
      <c r="D12" s="8" t="inlineStr">
        <is>
          <t>Home-Network</t>
        </is>
      </c>
      <c r="E12" s="8" t="inlineStr">
        <is>
          <t>Not Started</t>
        </is>
      </c>
      <c r="F12" s="8" t="inlineStr">
        <is>
          <t>fileserver:8086</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9">
      <c r="B19" s="16" t="inlineStr">
        <is>
          <t>TAB TOTAL</t>
        </is>
      </c>
      <c r="G19" s="16">
        <f>SUM(G5:G17)</f>
        <v/>
      </c>
      <c r="H19" s="16">
        <f>SUM(H5:H17)</f>
        <v/>
      </c>
      <c r="I19" s="16">
        <f>TEXT(H19/G19,"0%")&amp;" complete"</f>
        <v/>
      </c>
    </row>
  </sheetData>
  <mergeCells count="2">
    <mergeCell ref="A1:J1"/>
    <mergeCell ref="A2:J2"/>
  </mergeCells>
  <conditionalFormatting sqref="E5:E17">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9.xml><?xml version="1.0" encoding="utf-8"?>
<worksheet xmlns="http://schemas.openxmlformats.org/spreadsheetml/2006/main">
  <sheetPr>
    <tabColor rgb="000E7C7B"/>
    <outlinePr summaryBelow="1" summaryRight="1"/>
    <pageSetUpPr/>
  </sheetPr>
  <dimension ref="A1:J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t>
        </is>
      </c>
      <c r="D5" s="8" t="inlineStr">
        <is>
          <t>Hermes-VPS</t>
        </is>
      </c>
      <c r="E5" s="8" t="inlineStr">
        <is>
          <t>Done</t>
        </is>
      </c>
      <c r="F5" s="8" t="inlineStr">
        <is>
          <t>fileserver:3003 catalog-db</t>
        </is>
      </c>
      <c r="G5" s="8" t="n">
        <v>8</v>
      </c>
      <c r="H5" s="8">
        <f>IF(E5="Done",G5,IF(E5="Partial",G5*0.5,0))</f>
        <v/>
      </c>
      <c r="I5" s="8" t="inlineStr">
        <is>
          <t>Secrets Custodian</t>
        </is>
      </c>
      <c r="J5" s="8" t="inlineStr"/>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Risk</t>
        </is>
      </c>
      <c r="F12" s="8" t="inlineStr">
        <is>
          <t>server:/Dockers (guest ok=yes)</t>
        </is>
      </c>
      <c r="G12" s="8" t="n">
        <v>15</v>
      </c>
      <c r="H12" s="8">
        <f>IF(E12="Done",G12,IF(E12="Partial",G12*0.5,0))</f>
        <v/>
      </c>
      <c r="I12" s="8" t="inlineStr">
        <is>
          <t>Security Reviewer</t>
        </is>
      </c>
      <c r="J12" s="8" t="inlineStr">
        <is>
          <t>Biggest single item on this whole workbook</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violation as TM-06 — tracked here because it's fundamentally a secrets-handling problem, not just a tooling one.</t>
        </is>
      </c>
      <c r="D16" s="8" t="inlineStr">
        <is>
          <t>Hermes-VPS</t>
        </is>
      </c>
      <c r="E16" s="8" t="inlineStr">
        <is>
          <t>Violation</t>
        </is>
      </c>
      <c r="F16" s="8" t="inlineStr">
        <is>
          <t>4x deployments</t>
        </is>
      </c>
      <c r="G16" s="8" t="n">
        <v>12</v>
      </c>
      <c r="H16" s="8">
        <f>IF(E16="Done",G16,IF(E16="Partial",G16*0.5,0))</f>
        <v/>
      </c>
      <c r="I16" s="8" t="inlineStr">
        <is>
          <t>Hermes Design Specialist</t>
        </is>
      </c>
      <c r="J16" s="8" t="inlineStr"/>
    </row>
    <row r="17">
      <c r="A17" s="8" t="inlineStr">
        <is>
          <t>SV-13</t>
        </is>
      </c>
      <c r="B17" s="8" t="inlineStr">
        <is>
          <t>Human-side passcode storage policy</t>
        </is>
      </c>
      <c r="C17" s="8" t="inlineStr">
        <is>
          <t>How you yourself keep the vault/Salt passcode safe is currently undefined — underscored 2026-10-03 when it was shared directly in a chat session rather than pulled from a password manager. Not persisted in plaintext anywhere by Claude; this row exists so it doesn't need to be re-typed in conversation again.</t>
        </is>
      </c>
      <c r="D17" s="8" t="inlineStr">
        <is>
          <t>N/A (process/doc)</t>
        </is>
      </c>
      <c r="E17" s="8" t="inlineStr">
        <is>
          <t>Risk</t>
        </is>
      </c>
      <c r="F17" s="8" t="inlineStr">
        <is>
          <t>2026-10-03 chat session</t>
        </is>
      </c>
      <c r="G17" s="8" t="n">
        <v>5</v>
      </c>
      <c r="H17" s="8">
        <f>IF(E17="Done",G17,IF(E17="Partial",G17*0.5,0))</f>
        <v/>
      </c>
      <c r="I17" s="8" t="inlineStr">
        <is>
          <t>Product Owner (Mark)</t>
        </is>
      </c>
      <c r="J17" s="8" t="inlineStr">
        <is>
          <t>Adopt a password manager / vault-native entry point so the passcode never needs to be typed into a chat again</t>
        </is>
      </c>
    </row>
    <row r="19">
      <c r="B19" s="16" t="inlineStr">
        <is>
          <t>TAB TOTAL</t>
        </is>
      </c>
      <c r="G19" s="16">
        <f>SUM(G5:G17)</f>
        <v/>
      </c>
      <c r="H19" s="16">
        <f>SUM(H5:H17)</f>
        <v/>
      </c>
      <c r="I19" s="16">
        <f>TEXT(H19/G19,"0%")&amp;" complete"</f>
        <v/>
      </c>
    </row>
  </sheetData>
  <mergeCells count="2">
    <mergeCell ref="A1:J1"/>
    <mergeCell ref="A2:J2"/>
  </mergeCells>
  <conditionalFormatting sqref="E5:E17">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10.xml><?xml version="1.0" encoding="utf-8"?>
<worksheet xmlns="http://schemas.openxmlformats.org/spreadsheetml/2006/main">
  <sheetPr>
    <tabColor rgb="000E7C7B"/>
    <outlinePr summaryBelow="1" summaryRight="1"/>
    <pageSetUpPr/>
  </sheetPr>
  <dimension ref="A1:J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 network = local LLM only" principle re-affirmed</t>
        </is>
      </c>
      <c r="C7" s="8" t="inlineStr">
        <is>
          <t>User's own 2026-09-23 decision was to shrink home-network involvement to just the VPN-accessed local model — Salt + MeshCentral have since been added on top, which is scope creep against that decision, not a new idea.</t>
        </is>
      </c>
      <c r="D7" s="8" t="inlineStr">
        <is>
          <t>N/A (process/doc)</t>
        </is>
      </c>
      <c r="E7" s="8" t="inlineStr">
        <is>
          <t>Violation</t>
        </is>
      </c>
      <c r="F7" s="8" t="inlineStr">
        <is>
          <t>hermes-web-and-docker-presence-shifts-to-vps-2026-09-23</t>
        </is>
      </c>
      <c r="G7" s="8" t="n">
        <v>10</v>
      </c>
      <c r="H7" s="8">
        <f>IF(E7="Done",G7,IF(E7="Partial",G7*0.5,0))</f>
        <v/>
      </c>
      <c r="I7" s="8" t="inlineStr">
        <is>
          <t>Hermes Design Specialist</t>
        </is>
      </c>
      <c r="J7" s="8" t="inlineStr">
        <is>
          <t>Either ratify Salt/MeshCentral as an intentional exception, or roll them back</t>
        </is>
      </c>
    </row>
    <row r="8">
      <c r="A8" s="8" t="inlineStr">
        <is>
          <t>HN-04</t>
        </is>
      </c>
      <c r="B8" s="8" t="inlineStr">
        <is>
          <t>Explicit decision: infra/device-mgmt as first-class Hermes capability?</t>
        </is>
      </c>
      <c r="C8" s="8" t="inlineStr">
        <is>
          <t>Right now it's half-built without ever being decided either way.</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Risk</t>
        </is>
      </c>
      <c r="F9" s="8" t="inlineStr">
        <is>
          <t>hermes-vps config.yaml</t>
        </is>
      </c>
      <c r="G9" s="8" t="n">
        <v>15</v>
      </c>
      <c r="H9" s="8">
        <f>IF(E9="Done",G9,IF(E9="Partial",G9*0.5,0))</f>
        <v/>
      </c>
      <c r="I9" s="8" t="inlineStr">
        <is>
          <t>Security Reviewer</t>
        </is>
      </c>
      <c r="J9" s="8" t="inlineStr">
        <is>
          <t>CRITICAL</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4">
      <c r="B14" s="16" t="inlineStr">
        <is>
          <t>TAB TOTAL</t>
        </is>
      </c>
      <c r="G14" s="16">
        <f>SUM(G5:G12)</f>
        <v/>
      </c>
      <c r="H14" s="16">
        <f>SUM(H5:H12)</f>
        <v/>
      </c>
      <c r="I14" s="16">
        <f>TEXT(H14/G14,"0%")&amp;" complete"</f>
        <v/>
      </c>
    </row>
  </sheetData>
  <mergeCells count="2">
    <mergeCell ref="A1:J1"/>
    <mergeCell ref="A2:J2"/>
  </mergeCells>
  <conditionalFormatting sqref="E5:E12">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J1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t>
        </is>
      </c>
      <c r="C7" s="8" t="inlineStr">
        <is>
          <t>vLLM / ik_llama.cpp / llama.cpp (CPU expert offload) / KTransformers — none evaluated on this hardware yet.</t>
        </is>
      </c>
      <c r="D7" s="8" t="inlineStr">
        <is>
          <t>Home-Network</t>
        </is>
      </c>
      <c r="E7" s="8" t="inlineStr">
        <is>
          <t>Not Started</t>
        </is>
      </c>
      <c r="F7" s="8" t="inlineStr"/>
      <c r="G7" s="8" t="n">
        <v>10</v>
      </c>
      <c r="H7" s="8">
        <f>IF(E7="Done",G7,IF(E7="Partial",G7*0.5,0))</f>
        <v/>
      </c>
      <c r="I7" s="8" t="inlineStr">
        <is>
          <t>Model/Routing Engineer</t>
        </is>
      </c>
      <c r="J7" s="8" t="inlineStr"/>
    </row>
    <row r="8">
      <c r="A8" s="8" t="inlineStr">
        <is>
          <t>LI-04</t>
        </is>
      </c>
      <c r="B8" s="8" t="inlineStr">
        <is>
          <t>Model chosen + pulled</t>
        </is>
      </c>
      <c r="C8" s="8" t="inlineStr">
        <is>
          <t>Qwen3.6-35B-A3B floated as a candidate, unbenchmarked, not pulled.</t>
        </is>
      </c>
      <c r="D8" s="8" t="inlineStr">
        <is>
          <t>Home-Network</t>
        </is>
      </c>
      <c r="E8" s="8" t="inlineStr">
        <is>
          <t>Not Started</t>
        </is>
      </c>
      <c r="F8" s="8" t="inlineStr"/>
      <c r="G8" s="8" t="n">
        <v>8</v>
      </c>
      <c r="H8" s="8">
        <f>IF(E8="Done",G8,IF(E8="Partial",G8*0.5,0))</f>
        <v/>
      </c>
      <c r="I8" s="8" t="inlineStr">
        <is>
          <t>Model/Routing Engineer</t>
        </is>
      </c>
      <c r="J8" s="8" t="inlineStr"/>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8">
      <c r="B18" s="16" t="inlineStr">
        <is>
          <t>TAB TOTAL</t>
        </is>
      </c>
      <c r="G18" s="16">
        <f>SUM(G5:G16)</f>
        <v/>
      </c>
      <c r="H18" s="16">
        <f>SUM(H5:H16)</f>
        <v/>
      </c>
      <c r="I18" s="16">
        <f>TEXT(H18/G18,"0%")&amp;" complete"</f>
        <v/>
      </c>
    </row>
  </sheetData>
  <mergeCells count="2">
    <mergeCell ref="A1:J1"/>
    <mergeCell ref="A2:J2"/>
  </mergeCells>
  <conditionalFormatting sqref="E5:E16">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12.xml><?xml version="1.0" encoding="utf-8"?>
<worksheet xmlns="http://schemas.openxmlformats.org/spreadsheetml/2006/main">
  <sheetPr>
    <tabColor rgb="000E7C7B"/>
    <outlinePr summaryBelow="1" summaryRight="1"/>
    <pageSetUpPr/>
  </sheetPr>
  <dimension ref="A1:J1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Signal/Telegram channel configured</t>
        </is>
      </c>
      <c r="C9" s="8" t="inlineStr">
        <is>
          <t>hermes-gateway process is running; no channel wired on top of it yet. This is the interface built specifically for the GP 'looks like ordinary traffic' constraint.</t>
        </is>
      </c>
      <c r="D9" s="8" t="inlineStr">
        <is>
          <t>Hermes-VPS</t>
        </is>
      </c>
      <c r="E9" s="8" t="inlineStr">
        <is>
          <t>Not Started</t>
        </is>
      </c>
      <c r="F9" s="8" t="inlineStr">
        <is>
          <t>hermes-gateway</t>
        </is>
      </c>
      <c r="G9" s="8" t="n">
        <v>10</v>
      </c>
      <c r="H9" s="8">
        <f>IF(E9="Done",G9,IF(E9="Partial",G9*0.5,0))</f>
        <v/>
      </c>
      <c r="I9" s="8" t="inlineStr">
        <is>
          <t>Interface Engineer</t>
        </is>
      </c>
      <c r="J9" s="8" t="inlineStr"/>
    </row>
    <row r="10">
      <c r="A10" s="8" t="inlineStr">
        <is>
          <t>IA-06</t>
        </is>
      </c>
      <c r="B10" s="8" t="inlineStr">
        <is>
          <t>GP-workstation-as-backend-host / Zscaler-bypass resolved</t>
        </is>
      </c>
      <c r="C10" s="8" t="inlineStr">
        <is>
          <t>Both still-open asks point the opposite direction from the 'ordinary traffic only' design — never closed out.</t>
        </is>
      </c>
      <c r="D10" s="8" t="inlineStr">
        <is>
          <t>N/A (process/doc)</t>
        </is>
      </c>
      <c r="E10" s="8" t="inlineStr">
        <is>
          <t>Risk</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row>
    <row r="13">
      <c r="A13" s="8" t="inlineStr">
        <is>
          <t>IA-09</t>
        </is>
      </c>
      <c r="B13" s="8" t="inlineStr">
        <is>
          <t>Access logging per interface</t>
        </is>
      </c>
      <c r="C13" s="8" t="inlineStr">
        <is>
          <t>No record of who/when hit the web UI, Desktop, or future Signal channel.</t>
        </is>
      </c>
      <c r="D13" s="8" t="inlineStr">
        <is>
          <t>Hermes-VPS</t>
        </is>
      </c>
      <c r="E13" s="8" t="inlineStr">
        <is>
          <t>Not Started</t>
        </is>
      </c>
      <c r="F13" s="8" t="inlineStr"/>
      <c r="G13" s="8" t="n">
        <v>3</v>
      </c>
      <c r="H13" s="8">
        <f>IF(E13="Done",G13,IF(E13="Partial",G13*0.5,0))</f>
        <v/>
      </c>
      <c r="I13" s="8" t="inlineStr">
        <is>
          <t>Security Reviewer</t>
        </is>
      </c>
      <c r="J13" s="8" t="inlineStr"/>
    </row>
    <row r="15">
      <c r="B15" s="16" t="inlineStr">
        <is>
          <t>TAB TOTAL</t>
        </is>
      </c>
      <c r="G15" s="16">
        <f>SUM(G5:G13)</f>
        <v/>
      </c>
      <c r="H15" s="16">
        <f>SUM(H5:H13)</f>
        <v/>
      </c>
      <c r="I15" s="16">
        <f>TEXT(H15/G15,"0%")&amp;" complete"</f>
        <v/>
      </c>
    </row>
  </sheetData>
  <mergeCells count="2">
    <mergeCell ref="A1:J1"/>
    <mergeCell ref="A2:J2"/>
  </mergeCells>
  <conditionalFormatting sqref="E5:E13">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13.xml><?xml version="1.0" encoding="utf-8"?>
<worksheet xmlns="http://schemas.openxmlformats.org/spreadsheetml/2006/main">
  <sheetPr>
    <tabColor rgb="000E7C7B"/>
    <outlinePr summaryBelow="1" summaryRight="1"/>
    <pageSetUpPr/>
  </sheetPr>
  <dimension ref="A1:J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2">
      <c r="B12" s="16" t="inlineStr">
        <is>
          <t>TAB TOTAL</t>
        </is>
      </c>
      <c r="G12" s="16">
        <f>SUM(G5:G10)</f>
        <v/>
      </c>
      <c r="H12" s="16">
        <f>SUM(H5:H10)</f>
        <v/>
      </c>
      <c r="I12" s="16">
        <f>TEXT(H12/G12,"0%")&amp;" complete"</f>
        <v/>
      </c>
    </row>
  </sheetData>
  <mergeCells count="2">
    <mergeCell ref="A1:J1"/>
    <mergeCell ref="A2:J2"/>
  </mergeCells>
  <conditionalFormatting sqref="E5:E10">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14.xml><?xml version="1.0" encoding="utf-8"?>
<worksheet xmlns="http://schemas.openxmlformats.org/spreadsheetml/2006/main">
  <sheetPr>
    <tabColor rgb="000E7C7B"/>
    <outlinePr summaryBelow="1" summaryRight="1"/>
    <pageSetUpPr/>
  </sheetPr>
  <dimension ref="A1:J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backup (config.yaml, SOUL/USER.md, MCP venvs, history)</t>
        </is>
      </c>
      <c r="C6" s="8" t="inlineStr">
        <is>
          <t>Nothing backs up the VPS itself today — losing it means rebuilding from scratch.</t>
        </is>
      </c>
      <c r="D6" s="8" t="inlineStr">
        <is>
          <t>Hermes-VPS</t>
        </is>
      </c>
      <c r="E6" s="8" t="inlineStr">
        <is>
          <t>Not Started</t>
        </is>
      </c>
      <c r="F6" s="8" t="inlineStr"/>
      <c r="G6" s="8" t="n">
        <v>10</v>
      </c>
      <c r="H6" s="8">
        <f>IF(E6="Done",G6,IF(E6="Partial",G6*0.5,0))</f>
        <v/>
      </c>
      <c r="I6" s="8" t="inlineStr">
        <is>
          <t>Platform/SRE</t>
        </is>
      </c>
      <c r="J6" s="8" t="inlineStr"/>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2">
      <c r="B12" s="16" t="inlineStr">
        <is>
          <t>TAB TOTAL</t>
        </is>
      </c>
      <c r="G12" s="16">
        <f>SUM(G5:G10)</f>
        <v/>
      </c>
      <c r="H12" s="16">
        <f>SUM(H5:H10)</f>
        <v/>
      </c>
      <c r="I12" s="16">
        <f>TEXT(H12/G12,"0%")&amp;" complete"</f>
        <v/>
      </c>
    </row>
  </sheetData>
  <mergeCells count="2">
    <mergeCell ref="A1:J1"/>
    <mergeCell ref="A2:J2"/>
  </mergeCells>
  <conditionalFormatting sqref="E5:E10">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15.xml><?xml version="1.0" encoding="utf-8"?>
<worksheet xmlns="http://schemas.openxmlformats.org/spreadsheetml/2006/main">
  <sheetPr>
    <tabColor rgb="000E7C7B"/>
    <outlinePr summaryBelow="1" summaryRight="1"/>
    <pageSetUpPr/>
  </sheetPr>
  <dimension ref="A1:J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$4.80/day backups — known and accepted.</t>
        </is>
      </c>
      <c r="D6" s="8" t="inlineStr">
        <is>
          <t>Hermes-VPS</t>
        </is>
      </c>
      <c r="E6" s="8" t="inlineStr">
        <is>
          <t>Done</t>
        </is>
      </c>
      <c r="F6" s="8" t="inlineStr"/>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2">
      <c r="B12" s="16" t="inlineStr">
        <is>
          <t>TAB TOTAL</t>
        </is>
      </c>
      <c r="G12" s="16">
        <f>SUM(G5:G10)</f>
        <v/>
      </c>
      <c r="H12" s="16">
        <f>SUM(H5:H10)</f>
        <v/>
      </c>
      <c r="I12" s="16">
        <f>TEXT(H12/G12,"0%")&amp;" complete"</f>
        <v/>
      </c>
    </row>
  </sheetData>
  <mergeCells count="2">
    <mergeCell ref="A1:J1"/>
    <mergeCell ref="A2:J2"/>
  </mergeCells>
  <conditionalFormatting sqref="E5:E10">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16.xml><?xml version="1.0" encoding="utf-8"?>
<worksheet xmlns="http://schemas.openxmlformats.org/spreadsheetml/2006/main">
  <sheetPr>
    <tabColor rgb="000E7C7B"/>
    <outlinePr summaryBelow="1" summaryRight="1"/>
    <pageSetUpPr/>
  </sheetPr>
  <dimension ref="A1:J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item as HN-05 — tracked here as the security team's responsibility to actually close.</t>
        </is>
      </c>
      <c r="D6" s="8" t="inlineStr">
        <is>
          <t>Hermes-VPS</t>
        </is>
      </c>
      <c r="E6" s="8" t="inlineStr">
        <is>
          <t>Risk</t>
        </is>
      </c>
      <c r="F6" s="8" t="inlineStr"/>
      <c r="G6" s="8" t="n">
        <v>15</v>
      </c>
      <c r="H6" s="8">
        <f>IF(E6="Done",G6,IF(E6="Partial",G6*0.5,0))</f>
        <v/>
      </c>
      <c r="I6" s="8" t="inlineStr">
        <is>
          <t>Security Reviewer</t>
        </is>
      </c>
      <c r="J6" s="8" t="inlineStr">
        <is>
          <t>CRITICAL, duplicate of HN-05 by design</t>
        </is>
      </c>
    </row>
    <row r="7">
      <c r="A7" s="8" t="inlineStr">
        <is>
          <t>SH-03</t>
        </is>
      </c>
      <c r="B7" s="8" t="inlineStr">
        <is>
          <t>/Dockers plaintext secrets exposure remediated</t>
        </is>
      </c>
      <c r="C7" s="8" t="inlineStr">
        <is>
          <t>Same item as SV-08.</t>
        </is>
      </c>
      <c r="D7" s="8" t="inlineStr">
        <is>
          <t>Home-Network</t>
        </is>
      </c>
      <c r="E7" s="8" t="inlineStr">
        <is>
          <t>Risk</t>
        </is>
      </c>
      <c r="F7" s="8" t="inlineStr"/>
      <c r="G7" s="8" t="n">
        <v>15</v>
      </c>
      <c r="H7" s="8">
        <f>IF(E7="Done",G7,IF(E7="Partial",G7*0.5,0))</f>
        <v/>
      </c>
      <c r="I7" s="8" t="inlineStr">
        <is>
          <t>Security Reviewer</t>
        </is>
      </c>
      <c r="J7" s="8" t="inlineStr">
        <is>
          <t>CRITICAL, duplicate of SV-08 by design</t>
        </is>
      </c>
    </row>
    <row r="8">
      <c r="A8" s="8" t="inlineStr">
        <is>
          <t>SH-04</t>
        </is>
      </c>
      <c r="B8" s="8" t="inlineStr">
        <is>
          <t>Least-privilege review, all MCP credentials</t>
        </is>
      </c>
      <c r="C8" s="8" t="inlineStr">
        <is>
          <t>Same item as TM-11.</t>
        </is>
      </c>
      <c r="D8" s="8" t="inlineStr">
        <is>
          <t>Either / Bridge</t>
        </is>
      </c>
      <c r="E8" s="8" t="inlineStr">
        <is>
          <t>Partial</t>
        </is>
      </c>
      <c r="F8" s="8" t="inlineStr"/>
      <c r="G8" s="8" t="n">
        <v>5</v>
      </c>
      <c r="H8" s="8">
        <f>IF(E8="Done",G8,IF(E8="Partial",G8*0.5,0))</f>
        <v/>
      </c>
      <c r="I8" s="8" t="inlineStr">
        <is>
          <t>Security Reviewer</t>
        </is>
      </c>
      <c r="J8" s="8" t="inlineStr"/>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Not Started</t>
        </is>
      </c>
      <c r="F10" s="8" t="inlineStr"/>
      <c r="G10" s="8" t="n">
        <v>5</v>
      </c>
      <c r="H10" s="8">
        <f>IF(E10="Done",G10,IF(E10="Partial",G10*0.5,0))</f>
        <v/>
      </c>
      <c r="I10" s="8" t="inlineStr">
        <is>
          <t>Security Reviewer</t>
        </is>
      </c>
      <c r="J10" s="8" t="inlineStr"/>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Not Started</t>
        </is>
      </c>
      <c r="F11" s="8" t="inlineStr"/>
      <c r="G11" s="8" t="n">
        <v>5</v>
      </c>
      <c r="H11" s="8">
        <f>IF(E11="Done",G11,IF(E11="Partial",G11*0.5,0))</f>
        <v/>
      </c>
      <c r="I11" s="8" t="inlineStr">
        <is>
          <t>Security Reviewer</t>
        </is>
      </c>
      <c r="J11" s="8" t="inlineStr"/>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4">
      <c r="B14" s="16" t="inlineStr">
        <is>
          <t>TAB TOTAL</t>
        </is>
      </c>
      <c r="G14" s="16">
        <f>SUM(G5:G12)</f>
        <v/>
      </c>
      <c r="H14" s="16">
        <f>SUM(H5:H12)</f>
        <v/>
      </c>
      <c r="I14" s="16">
        <f>TEXT(H14/G14,"0%")&amp;" complete"</f>
        <v/>
      </c>
    </row>
  </sheetData>
  <mergeCells count="2">
    <mergeCell ref="A1:J1"/>
    <mergeCell ref="A2:J2"/>
  </mergeCells>
  <conditionalFormatting sqref="E5:E12">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J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2">
      <c r="B12" s="16" t="inlineStr">
        <is>
          <t>TAB TOTAL</t>
        </is>
      </c>
      <c r="G12" s="16">
        <f>SUM(G5:G10)</f>
        <v/>
      </c>
      <c r="H12" s="16">
        <f>SUM(H5:H10)</f>
        <v/>
      </c>
      <c r="I12" s="16">
        <f>TEXT(H12/G12,"0%")&amp;" complete"</f>
        <v/>
      </c>
    </row>
  </sheetData>
  <mergeCells count="2">
    <mergeCell ref="A1:J1"/>
    <mergeCell ref="A2:J2"/>
  </mergeCells>
  <conditionalFormatting sqref="E5:E10">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18.xml><?xml version="1.0" encoding="utf-8"?>
<worksheet xmlns="http://schemas.openxmlformats.org/spreadsheetml/2006/main">
  <sheetPr>
    <tabColor rgb="000E7C7B"/>
    <outlinePr summaryBelow="1" summaryRight="1"/>
    <pageSetUpPr/>
  </sheetPr>
  <dimension ref="A1:J1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8">
      <c r="B18" s="16" t="inlineStr">
        <is>
          <t>TAB TOTAL</t>
        </is>
      </c>
      <c r="G18" s="16">
        <f>SUM(G5:G16)</f>
        <v/>
      </c>
      <c r="H18" s="16">
        <f>SUM(H5:H16)</f>
        <v/>
      </c>
      <c r="I18" s="16">
        <f>TEXT(H18/G18,"0%")&amp;" complete"</f>
        <v/>
      </c>
    </row>
  </sheetData>
  <mergeCells count="2">
    <mergeCell ref="A1:J1"/>
    <mergeCell ref="A2:J2"/>
  </mergeCells>
  <conditionalFormatting sqref="E5:E16">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2026-10-04T00:22:34Z</dcterms:created>
  <dcterms:modified xsi:type="dcterms:W3CDTF">2026-10-04T00:22:34Z</dcterms:modified>
</cp:coreProperties>
</file>