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bl_01_Core_Runtime" displayName="tbl_01_Core_Runtime" ref="A4:J50" headerRowCount="1">
  <autoFilter ref="A4:J5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0E7C7B"/>
    <outlinePr summaryBelow="1" summaryRight="1"/>
    <pageSetUpPr/>
  </sheetPr>
  <dimension ref="A1:A66"/>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Signal/Telegram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SUM('01_Core_Runtime'!G5:G50)</f>
        <v/>
      </c>
      <c r="D5" s="10">
        <f>SUM('01_Core_Runtime'!H5:H50)</f>
        <v/>
      </c>
      <c r="E5" s="11">
        <f>IFERROR(D5/C5,0)</f>
        <v/>
      </c>
    </row>
    <row r="6">
      <c r="A6" s="10" t="inlineStr">
        <is>
          <t>02_Identity_Memory</t>
        </is>
      </c>
      <c r="B6" s="10" t="inlineStr">
        <is>
          <t>Identity &amp; Memory Continuity</t>
        </is>
      </c>
      <c r="C6" s="10">
        <f>SUM('02_Identity_Memory'!G5:G42)</f>
        <v/>
      </c>
      <c r="D6" s="10">
        <f>SUM('02_Identity_Memory'!H5:H42)</f>
        <v/>
      </c>
      <c r="E6" s="11">
        <f>IFERROR(D6/C6,0)</f>
        <v/>
      </c>
    </row>
    <row r="7">
      <c r="A7" s="10" t="inlineStr">
        <is>
          <t>03_Model_Routing_Resilience</t>
        </is>
      </c>
      <c r="B7" s="10" t="inlineStr">
        <is>
          <t>Model, Provider &amp; Resilience</t>
        </is>
      </c>
      <c r="C7" s="10">
        <f>SUM('03_Model_Routing_Resilience'!G5:G46)</f>
        <v/>
      </c>
      <c r="D7" s="10">
        <f>SUM('03_Model_Routing_Resilience'!H5:H46)</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SUM('08_Interfaces_Access'!G5:G43)</f>
        <v/>
      </c>
      <c r="D12" s="10">
        <f>SUM('08_Interfaces_Access'!H5:H43)</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Signal/Telegram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2">
      <c r="B52" s="20" t="inlineStr">
        <is>
          <t>TAB TOTAL (includes blank headroom rows above for future additions)</t>
        </is>
      </c>
      <c r="G52" s="20">
        <f>SUM(G5:G50)</f>
        <v/>
      </c>
      <c r="H52" s="20">
        <f>SUM(H5:H50)</f>
        <v/>
      </c>
      <c r="I52" s="20">
        <f>IFERROR(TEXT(H52/G52,"0%")&amp;" complete","0% complete")</f>
        <v/>
      </c>
    </row>
  </sheetData>
  <mergeCells count="2">
    <mergeCell ref="A1:J1"/>
    <mergeCell ref="A2:J2"/>
  </mergeCells>
  <conditionalFormatting sqref="E5:E5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MEMORY.md committed to hermes-vps</t>
        </is>
      </c>
      <c r="C5" s="8" t="inlineStr">
        <is>
          <t>Earlier plan called this SOUL.md — the real file hermes-agent reads is MEMORY.md (file-backed, 2,200-char cap, built in). 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Researched 2026-10-04: Hermes supports pluggable memory providers (Hindsight, Supermemory, Mnemosyne); Hindsight's local Docker mode (own Postgres, no cloud dependency) is the best fit — and if it can point at the same database as the catalog/vault once SV-15 migrates them, Hermes's memory and the project's memory become one store instead of two.</t>
        </is>
      </c>
      <c r="D9" s="8" t="inlineStr">
        <is>
          <t>Hermes-VPS</t>
        </is>
      </c>
      <c r="E9" s="8" t="inlineStr">
        <is>
          <t>Not Started</t>
        </is>
      </c>
      <c r="F9" s="8" t="inlineStr">
        <is>
          <t>catalog (temporary) -&gt; Hindsight (target)</t>
        </is>
      </c>
      <c r="G9" s="8" t="n">
        <v>8</v>
      </c>
      <c r="H9" s="8">
        <f>IF(E9="Done",G9,IF(E9="Partial",G9*0.5,0))</f>
        <v/>
      </c>
      <c r="I9" s="8" t="inlineStr">
        <is>
          <t>Hermes Design Specialist</t>
        </is>
      </c>
      <c r="J9" s="8" t="inlineStr">
        <is>
          <t>Depends on SV-15 (catalog/vault migration)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2026-10-04T20:48:43Z</dcterms:created>
  <dcterms:modified xsi:type="dcterms:W3CDTF">2026-10-04T20:48:44Z</dcterms:modified>
</cp:coreProperties>
</file>