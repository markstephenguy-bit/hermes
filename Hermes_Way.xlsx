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bl_01_Core_Runtime" displayName="tbl_01_Core_Runtime"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E7C7B"/>
    <outlinePr summaryBelow="1" summaryRight="1"/>
    <pageSetUpPr/>
  </sheetPr>
  <dimension ref="A1:A62"/>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SOUL.md/USER.md,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Signal/Telegram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SUM('01_Core_Runtime'!G5:G48)</f>
        <v/>
      </c>
      <c r="D5" s="10">
        <f>SUM('01_Core_Runtime'!H5:H48)</f>
        <v/>
      </c>
      <c r="E5" s="11">
        <f>IFERROR(D5/C5,0)</f>
        <v/>
      </c>
    </row>
    <row r="6">
      <c r="A6" s="10" t="inlineStr">
        <is>
          <t>02_Identity_Memory</t>
        </is>
      </c>
      <c r="B6" s="10" t="inlineStr">
        <is>
          <t>Identity &amp; Memory Continuity</t>
        </is>
      </c>
      <c r="C6" s="10">
        <f>SUM('02_Identity_Memory'!G5:G42)</f>
        <v/>
      </c>
      <c r="D6" s="10">
        <f>SUM('02_Identity_Memory'!H5:H42)</f>
        <v/>
      </c>
      <c r="E6" s="11">
        <f>IFERROR(D6/C6,0)</f>
        <v/>
      </c>
    </row>
    <row r="7">
      <c r="A7" s="10" t="inlineStr">
        <is>
          <t>03_Model_Routing_Resilience</t>
        </is>
      </c>
      <c r="B7" s="10" t="inlineStr">
        <is>
          <t>Model, Provider &amp; Resilience</t>
        </is>
      </c>
      <c r="C7" s="10">
        <f>SUM('03_Model_Routing_Resilience'!G5:G46)</f>
        <v/>
      </c>
      <c r="D7" s="10">
        <f>SUM('03_Model_Routing_Resilience'!H5:H46)</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SUM('05_Secrets_Vault'!G5:G48)</f>
        <v/>
      </c>
      <c r="D9" s="10">
        <f>SUM('05_Secrets_Vault'!H5:H48)</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SUM('08_Interfaces_Access'!G5:G43)</f>
        <v/>
      </c>
      <c r="D12" s="10">
        <f>SUM('08_Interfaces_Access'!H5:H43)</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Signal/Telegram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 per CLAUDE.md this role is meant to move into Hermes eventually.</t>
        </is>
      </c>
      <c r="D9" s="8" t="inlineStr">
        <is>
          <t>Hermes-VPS</t>
        </is>
      </c>
      <c r="E9" s="8" t="inlineStr">
        <is>
          <t>Not Started</t>
        </is>
      </c>
      <c r="F9" s="8" t="inlineStr">
        <is>
          <t>catalog (temporary) -&gt; Hermes (target)</t>
        </is>
      </c>
      <c r="G9" s="8" t="n">
        <v>8</v>
      </c>
      <c r="H9" s="8">
        <f>IF(E9="Done",G9,IF(E9="Partial",G9*0.5,0))</f>
        <v/>
      </c>
      <c r="I9" s="8" t="inlineStr">
        <is>
          <t>Hermes Design Specialist</t>
        </is>
      </c>
      <c r="J9" s="8" t="inlineStr"/>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Define whether that's an acceptable degradation (Hermes keeps answering via Codex but can't log/recall catalog memory or fetch new secrets until the tunnel's back) or whether a VPS-local cache/replica is needed.</t>
        </is>
      </c>
      <c r="D17" s="8" t="inlineStr">
        <is>
          <t>Either / Bridge</t>
        </is>
      </c>
      <c r="E17" s="8" t="inlineStr">
        <is>
          <t>Not Started</t>
        </is>
      </c>
      <c r="F17" s="8" t="inlineStr"/>
      <c r="G17" s="8" t="n">
        <v>12</v>
      </c>
      <c r="H17" s="8">
        <f>IF(E17="Done",G17,IF(E17="Partial",G17*0.5,0))</f>
        <v/>
      </c>
      <c r="I17" s="8" t="inlineStr">
        <is>
          <t>Hermes Design Specialist</t>
        </is>
      </c>
      <c r="J17" s="8" t="inlineStr">
        <is>
          <t>Scope gap found reviewing SV-01 — this is arguably as load-bearing as MR-05 itself</t>
        </is>
      </c>
    </row>
    <row r="18">
      <c r="A18" s="8" t="inlineStr">
        <is>
          <t>SV-13</t>
        </is>
      </c>
      <c r="B18" s="8" t="inlineStr">
        <is>
          <t>Human-side passcode storage policy</t>
        </is>
      </c>
      <c r="C18" s="8" t="inlineStr">
        <is>
          <t>Define how the vault/Salt passcode is stored and retrieved on the human side (e.g. a password manager entry) so it never needs to be typed into a chat session.</t>
        </is>
      </c>
      <c r="D18" s="8" t="inlineStr">
        <is>
          <t>N/A (process/doc)</t>
        </is>
      </c>
      <c r="E18" s="8" t="inlineStr">
        <is>
          <t>Not Started</t>
        </is>
      </c>
      <c r="F18" s="8" t="inlineStr"/>
      <c r="G18" s="8" t="n">
        <v>5</v>
      </c>
      <c r="H18" s="8">
        <f>IF(E18="Done",G18,IF(E18="Partial",G18*0.5,0))</f>
        <v/>
      </c>
      <c r="I18" s="8" t="inlineStr">
        <is>
          <t>Product Owner (Mark)</t>
        </is>
      </c>
      <c r="J18" s="8" t="inlineStr">
        <is>
          <t>Passcode was typed directly in chat on 2026-10-03; not persisted anywhere by Claude, but this feature would make that unnecessary going forward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Qwen3.6-35B-A3B floated as a candidate, unbenchmarked, not pulled.</t>
        </is>
      </c>
      <c r="D8" s="8" t="inlineStr">
        <is>
          <t>Home-Network</t>
        </is>
      </c>
      <c r="E8" s="8" t="inlineStr">
        <is>
          <t>Not Started</t>
        </is>
      </c>
      <c r="F8" s="8" t="inlineStr"/>
      <c r="G8" s="8" t="n">
        <v>8</v>
      </c>
      <c r="H8" s="8">
        <f>IF(E8="Done",G8,IF(E8="Partial",G8*0.5,0))</f>
        <v/>
      </c>
      <c r="I8" s="8" t="inlineStr">
        <is>
          <t>Model/Routing Engineer</t>
        </is>
      </c>
      <c r="J8" s="8" t="inlineStr"/>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One ad hoc 306.5MB snapshot exists (taken 2026-09-29, before the install-channel migration) — but nothing recurring/scheduled backs up config.yaml, SOUL/USER.md, or MCP venvs on an ongoing basis.</t>
        </is>
      </c>
      <c r="D6" s="8" t="inlineStr">
        <is>
          <t>Hermes-VPS</t>
        </is>
      </c>
      <c r="E6" s="8" t="inlineStr">
        <is>
          <t>Not Started</t>
        </is>
      </c>
      <c r="F6" s="8" t="inlineStr">
        <is>
          <t>hermes-migrated-to-supported-install-2026-09-29</t>
        </is>
      </c>
      <c r="G6" s="8" t="n">
        <v>10</v>
      </c>
      <c r="H6" s="8">
        <f>IF(E6="Done",G6,IF(E6="Partial",G6*0.5,0))</f>
        <v/>
      </c>
      <c r="I6" s="8" t="inlineStr">
        <is>
          <t>Platform/SRE</t>
        </is>
      </c>
      <c r="J6" s="8" t="inlineStr"/>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2026-10-04T01:54:13Z</dcterms:created>
  <dcterms:modified xsi:type="dcterms:W3CDTF">2026-10-04T01:54:13Z</dcterms:modified>
</cp:coreProperties>
</file>