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3"/>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t>
        </is>
      </c>
      <c r="G7" s="8" t="n">
        <v>8</v>
      </c>
      <c r="H7" s="8">
        <f>IF(E7="Done",G7,IF(E7="Partial",G7*0.5,0))</f>
        <v/>
      </c>
      <c r="I7" s="8" t="inlineStr">
        <is>
          <t>Platform/SRE</t>
        </is>
      </c>
      <c r="J7" s="8" t="inlineStr">
        <is>
          <t>VERIFY 2026-10-05: 'Done' here needs re-checking against loginctl show-user $USER -p Linger (must read Linger=yes) -- a systemd --user service without linger survives logout but NOT an actual reboot. Confirm with a real reboot test, not just systemctl status. See D8_Advanced_Reference.</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Not Started</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Not Started</t>
        </is>
      </c>
      <c r="F18" s="8" t="inlineStr"/>
      <c r="G18" s="8" t="n">
        <v>5</v>
      </c>
      <c r="H18" s="8">
        <f>IF(E18="Done",G18,IF(E18="Partial",G18*0.5,0))</f>
        <v/>
      </c>
      <c r="I18" s="8" t="inlineStr">
        <is>
          <t>Hermes Design Specialist</t>
        </is>
      </c>
      <c r="J18" s="8" t="inlineStr"/>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A second, independent deployment — not a feature of this Hermes instance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Partial</t>
        </is>
      </c>
      <c r="F21" s="8" t="inlineStr">
        <is>
          <t>hermes-five-provider-choices-locked-2026-10-04</t>
        </is>
      </c>
      <c r="G21" s="8" t="n">
        <v>8</v>
      </c>
      <c r="H21" s="8">
        <f>IF(E21="Done",G21,IF(E21="Partial",G21*0.5,0))</f>
        <v/>
      </c>
      <c r="I21" s="8" t="inlineStr">
        <is>
          <t>Security Reviewer</t>
        </is>
      </c>
      <c r="J21" s="8" t="inlineStr">
        <is>
          <t>Decided, not yet applied to config.yaml Found 2026-10-05: terminal.container_memory defaults to 5120MB (5GB) -- hermes-vps only has 4GB total RAM. MUST be set lower explicitly or Docker-backed commands risk OOM. See D8_Advanced_Reference.</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Not Started</t>
        </is>
      </c>
      <c r="F22" s="8" t="n"/>
      <c r="G22" s="8" t="n">
        <v>5</v>
      </c>
      <c r="H22" s="8">
        <f>IF(E22="Done",G22,IF(E22="Partial",G22*0.5,0))</f>
        <v/>
      </c>
      <c r="I22" s="8" t="inlineStr">
        <is>
          <t>Platform/SRE</t>
        </is>
      </c>
      <c r="J22" s="8" t="inlineStr">
        <is>
          <t>Blocking the execution phase kickoff -- vault it the moment it exists, never leave it in plaintext.</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Not Started</t>
        </is>
      </c>
      <c r="F5" s="8" t="inlineStr">
        <is>
          <t>hermes-agent docs: user-guide/features/personality</t>
        </is>
      </c>
      <c r="G5" s="8" t="n">
        <v>10</v>
      </c>
      <c r="H5" s="8">
        <f>IF(E5="Done",G5,IF(E5="Partial",G5*0.5,0))</f>
        <v/>
      </c>
      <c r="I5" s="8" t="inlineStr">
        <is>
          <t>Hermes Design Specialist</t>
        </is>
      </c>
      <c r="J5" s="8" t="inlineStr"/>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is>
          <t>Found 2026-10-05: practical template ready -- 4 sections (Soul/Voice/Operations/Restrictions), 50-80 lines (~400-800 tokens/turn), official starter pattern available. hermes prompt-size shows actual token cost once written. This was the main blocker on this row -- ready to draft and commit. See D8_Advanced_Reference.</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hermes-agent docs: persistent memory</t>
        </is>
      </c>
      <c r="G13" s="8" t="n">
        <v>8</v>
      </c>
      <c r="H13" s="8">
        <f>IF(E13="Done",G13,IF(E13="Partial",G13*0.5,0))</f>
        <v/>
      </c>
      <c r="I13" s="8" t="inlineStr">
        <is>
          <t>Hermes Design Specialist</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t>
        </is>
      </c>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Partial</t>
        </is>
      </c>
      <c r="F9" s="8" t="inlineStr">
        <is>
          <t>hermes-five-provider-choices-locked-2026-10-04</t>
        </is>
      </c>
      <c r="G9" s="8" t="n">
        <v>10</v>
      </c>
      <c r="H9" s="8">
        <f>IF(E9="Done",G9,IF(E9="Partial",G9*0.5,0))</f>
        <v/>
      </c>
      <c r="I9" s="8" t="inlineStr">
        <is>
          <t>Interface Engineer</t>
        </is>
      </c>
      <c r="J9" s="8" t="inlineStr">
        <is>
          <t>Needs a Telegram Bot token via BotFather — a new vault-worthy credential, not yet created Found 2026-10-05: the dashboard's Pairing page is the built-in UI for approving/revoking Telegram (and other platform) users once the bot token exists -- no custom approval flow needed. See D6_Web_Dashboard. Found 2026-10-05, exact verified sequence: hermes gateway setup (config only, doesn't start) -&gt; hermes gateway run foreground, confirm 'telegram connected' in log -&gt; Ctrl-C -&gt; hermes gateway start for the managed service. Polling mode = no inbound firewall port needed. Non-interactive install: printf 'n\nY\n' | hermes gateway install. See D8_Advanced_Reference.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Partial</t>
        </is>
      </c>
      <c r="F8" s="8" t="inlineStr"/>
      <c r="G8" s="8" t="n">
        <v>5</v>
      </c>
      <c r="H8" s="8">
        <f>IF(E8="Done",G8,IF(E8="Partial",G8*0.5,0))</f>
        <v/>
      </c>
      <c r="I8" s="8" t="inlineStr">
        <is>
          <t>Security Reviewer</t>
        </is>
      </c>
      <c r="J8" s="8" t="inlineStr"/>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Not Started</t>
        </is>
      </c>
      <c r="F10" s="8" t="inlineStr"/>
      <c r="G10" s="8" t="n">
        <v>5</v>
      </c>
      <c r="H10" s="8">
        <f>IF(E10="Done",G10,IF(E10="Partial",G10*0.5,0))</f>
        <v/>
      </c>
      <c r="I10" s="8" t="inlineStr">
        <is>
          <t>Security Reviewer</t>
        </is>
      </c>
      <c r="J10" s="8" t="inlineStr">
        <is>
          <t>FOUND 2026-10-05 (see D6_Web_Dashboard): dashboard auth model confirmed -- loopback bind (127.0.0.1) needs no auth; any other bind refuses to start without an auth provider (password/trusted-network-only, Nous Portal OAuth, or self-hosted OIDC). Screenshots show the live dashboard reachable at a public-looking vultropenclaw.com subdomain with no visible login -- UNCONFIRMED whether that's loopback+reverse-proxy, a satisfied auth gate, or actually unprotected. This row needs a direct check, not an assumption. RESOLVED 2026-10-05: a read-only check from a fresh, unauthenticated browser session against the live dashboard URL returned HTTP 401 Unauthorized -- the non-loopback auth gate IS active (confirmed real open-internet exposure per the user, but gated, not open). Remaining unknown: which of the three auth providers (password/Nous OAuth/self-hosted OIDC) is configured and how strong it is -- smaller follow-up, not an active exposure.</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Not Started</t>
        </is>
      </c>
      <c r="F11" s="8" t="inlineStr"/>
      <c r="G11" s="8" t="n">
        <v>5</v>
      </c>
      <c r="H11" s="8">
        <f>IF(E11="Done",G11,IF(E11="Partial",G11*0.5,0))</f>
        <v/>
      </c>
      <c r="I11" s="8" t="inlineStr">
        <is>
          <t>Security Reviewer</t>
        </is>
      </c>
      <c r="J11" s="8" t="inlineStr">
        <is>
          <t>Found 2026-10-05: hermes security audit (built-in OSV.dev scan of venv/plugins/MCP servers) is a direct, already-available answer to this row -- run it before building anything custom. See D8_Advanced_Reference.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2026-10-05T15:19:03Z</dcterms:modified>
</cp:coreProperties>
</file>